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043b24e6b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113fd411b82429a"/>
    <x:sheet xmlns:r="http://schemas.openxmlformats.org/officeDocument/2006/relationships" name="区域总览" sheetId="2" r:id="R55c55ccf4d3745c7"/>
    <x:sheet xmlns:r="http://schemas.openxmlformats.org/officeDocument/2006/relationships" name="布怪配置" sheetId="3" r:id="R7142c3326b7647af"/>
    <x:sheet xmlns:r="http://schemas.openxmlformats.org/officeDocument/2006/relationships" name="敌人类型映射" sheetId="4" r:id="R9f87e4589a4c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0"/>
      <x:color rgb="FFFFFFFF"/>
      <x:name val="Carlito"/>
    </x:font>
    <x:font>
      <x:sz val="10"/>
      <x:color rgb="FF20303C"/>
      <x:name val="Carlito"/>
    </x:font>
    <x:font>
      <x:b/>
      <x:sz val="10"/>
      <x:color rgb="FF17324D"/>
      <x:name val="Carlito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color rgb="FF17324D"/>
      <x:name val="Microsoft YaHei"/>
    </x:font>
    <x:font>
      <x:b/>
      <x:sz val="10"/>
      <x:color rgb="FFFFFFFF"/>
      <x:name val="Microsoft YaHei"/>
    </x:font>
    <x:font>
      <x:sz val="10"/>
      <x:color rgb="FF20303C"/>
      <x:name val="Microsoft YaHei"/>
    </x:font>
    <x:font>
      <x:b/>
      <x:sz val="10"/>
      <x:color rgb="FF17324D"/>
      <x:name val="Microsoft YaHei"/>
    </x:font>
    <x:font>
      <x:b/>
      <x:sz val="11"/>
      <x:color rgb="FF765B00"/>
      <x:name val="Carlito"/>
    </x:font>
    <x:font>
      <x:b/>
      <x:sz val="11"/>
      <x:color rgb="FF765B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2F5D7C"/>
      </x:patternFill>
    </x:fill>
    <x:fill>
      <x:patternFill patternType="solid">
        <x:fgColor rgb="FFEEF3F6"/>
      </x:patternFill>
    </x:fill>
    <x:fill>
      <x:patternFill patternType="solid">
        <x:fgColor rgb="FFFFF4CC"/>
      </x:patternFill>
    </x:fill>
    <x:fill>
      <x:patternFill patternType="solid">
        <x:fgColor rgb="FFEAF4E2"/>
      </x:patternFill>
    </x:fill>
    <x:fill>
      <x:patternFill patternType="solid">
        <x:fgColor rgb="FFF5F7F9"/>
      </x:patternFill>
    </x:fill>
  </x:fills>
  <x:borders count="7">
    <x:border/>
    <x:border>
      <x:right style="thin">
        <x:color rgb="FFB7C6D1"/>
      </x:right>
    </x:border>
    <x:border>
      <x:left style="thin">
        <x:color rgb="FFB7C6D1"/>
      </x:left>
      <x:right style="thin">
        <x:color rgb="FFB7C6D1"/>
      </x:right>
    </x:border>
    <x:border>
      <x:left style="thin">
        <x:color rgb="FFB7C6D1"/>
      </x:left>
    </x:border>
    <x:border>
      <x:bottom style="thin">
        <x:color rgb="FFDDE5EA"/>
      </x:bottom>
    </x:border>
    <x:border>
      <x:top style="thin">
        <x:color rgb="FFDDE5EA"/>
      </x:top>
      <x:bottom style="thin">
        <x:color rgb="FFDDE5EA"/>
      </x:bottom>
    </x:border>
    <x:border>
      <x:top style="thin">
        <x:color rgb="FFDDE5EA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11" fillId="5" borderId="4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0" fillId="6" borderId="6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200" fontId="4" fillId="6" borderId="4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4" fillId="6" borderId="4" xfId="0" applyNumberFormat="1" applyFont="1" applyFill="1" applyBorder="1" applyAlignment="1">
      <x:alignment vertical="center" wrapText="1"/>
    </x:xf>
    <x:xf numFmtId="201" fontId="4" fillId="6" borderId="5" xfId="0" applyNumberFormat="1" applyFont="1" applyFill="1" applyBorder="1" applyAlignment="1">
      <x:alignment vertical="center" wrapText="1"/>
    </x:xf>
    <x:xf numFmtId="201" fontId="4" fillId="6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10" fillId="6" borderId="4" xfId="0" applyNumberFormat="1" applyFont="1" applyFill="1" applyBorder="1" applyAlignment="1">
      <x:alignment vertical="center" wrapText="1"/>
    </x:xf>
    <x:xf numFmtId="201" fontId="10" fillId="6" borderId="4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4" xfId="0" applyNumberFormat="1" applyFont="1" applyFill="1" applyBorder="1" applyAlignment="1">
      <x:alignment vertical="center" wrapText="1"/>
    </x:xf>
    <x:xf numFmtId="200" fontId="10" fillId="6" borderId="5" xfId="0" applyNumberFormat="1" applyFont="1" applyFill="1" applyBorder="1" applyAlignment="1">
      <x:alignment vertical="center" wrapText="1"/>
    </x:xf>
    <x:xf numFmtId="201" fontId="10" fillId="6" borderId="5" xfId="0" applyNumberFormat="1" applyFont="1" applyFill="1" applyBorder="1" applyAlignment="1">
      <x:alignment vertical="center" wrapText="1"/>
    </x:xf>
    <x:xf numFmtId="0" fontId="10" fillId="7" borderId="5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200" fontId="10" fillId="6" borderId="6" xfId="0" applyNumberFormat="1" applyFont="1" applyFill="1" applyBorder="1" applyAlignment="1">
      <x:alignment vertical="center" wrapText="1"/>
    </x:xf>
    <x:xf numFmtId="201" fontId="10" fillId="6" borderId="6" xfId="0" applyNumberFormat="1" applyFont="1" applyFill="1" applyBorder="1" applyAlignment="1">
      <x:alignment vertical="center" wrapText="1"/>
    </x:xf>
    <x:xf numFmtId="0" fontId="10" fillId="7" borderId="6" xfId="0" applyNumberFormat="1" applyFont="1" applyFill="1" applyBorder="1" applyAlignment="1">
      <x:alignment vertical="center" wrapText="1"/>
    </x:xf>
    <x:xf numFmtId="0" fontId="10" fillId="8" borderId="6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4" fillId="0" borderId="4" xfId="0" applyNumberFormat="1" applyFont="1" applyFill="1" applyBorder="1" applyAlignment="1">
      <x:alignment vertical="center" wrapText="1"/>
    </x:xf>
    <x:xf numFmtId="200" fontId="4" fillId="7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7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7" borderId="6" xfId="0" applyNumberFormat="1" applyFont="1" applyFill="1" applyBorder="1" applyAlignment="1">
      <x:alignment vertical="center" wrapText="1"/>
    </x:xf>
    <x:xf numFmtId="200" fontId="10" fillId="0" borderId="4" xfId="0" applyNumberFormat="1" applyFont="1" applyFill="1" applyBorder="1" applyAlignment="1">
      <x:alignment vertical="center" wrapText="1"/>
    </x:xf>
    <x:xf numFmtId="200" fontId="10" fillId="7" borderId="4" xfId="0" applyNumberFormat="1" applyFont="1" applyFill="1" applyBorder="1" applyAlignment="1">
      <x:alignment vertical="center" wrapText="1"/>
    </x:xf>
    <x:xf numFmtId="200" fontId="10" fillId="0" borderId="5" xfId="0" applyNumberFormat="1" applyFont="1" applyFill="1" applyBorder="1" applyAlignment="1">
      <x:alignment vertical="center" wrapText="1"/>
    </x:xf>
    <x:xf numFmtId="200" fontId="10" fillId="7" borderId="5" xfId="0" applyNumberFormat="1" applyFont="1" applyFill="1" applyBorder="1" applyAlignment="1">
      <x:alignment vertical="center" wrapText="1"/>
    </x:xf>
    <x:xf numFmtId="200" fontId="10" fillId="0" borderId="6" xfId="0" applyNumberFormat="1" applyFont="1" applyFill="1" applyBorder="1" applyAlignment="1">
      <x:alignment vertical="center" wrapText="1"/>
    </x:xf>
    <x:xf numFmtId="200" fontId="10" fillId="7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2E6B2E"/>
      </x:font>
      <x:fill>
        <x:patternFill patternType="solid">
          <x:bgColor rgb="FFDFF0D8"/>
        </x:patternFill>
      </x:fill>
    </x:dxf>
    <x:dxf>
      <x:font>
        <x:b/>
        <x:color rgb="FF805F00"/>
      </x:font>
      <x:fill>
        <x:patternFill patternType="solid">
          <x:bgColor rgb="FFFFF1BF"/>
        </x:patternFill>
      </x:fill>
    </x:dxf>
    <x:dxf>
      <x:font>
        <x:b/>
        <x:color rgb="FF8B2D2D"/>
      </x:font>
      <x:fill>
        <x:patternFill patternType="solid">
          <x:bgColor rgb="FFF7D7D7"/>
        </x:patternFill>
      </x:fill>
    </x:dxf>
    <x:dxf>
      <x:font>
        <x:b/>
        <x:color rgb="FF2E6B2E"/>
      </x:font>
      <x:fill>
        <x:patternFill patternType="solid">
          <x:bgColor rgb="FFDFF0D8"/>
        </x:patternFill>
      </x:fill>
    </x:dxf>
    <x:dxf>
      <x:font>
        <x:color rgb="FF805F00"/>
      </x:font>
      <x:fill>
        <x:patternFill patternType="solid">
          <x:bgColor rgb="FFFFF1BF"/>
        </x:patternFill>
      </x:fill>
    </x:dxf>
    <x:dxf>
      <x:font>
        <x:b/>
        <x:color rgb="FF8B2D2D"/>
      </x:font>
      <x:fill>
        <x:patternFill patternType="solid">
          <x:bgColor rgb="FFF7D7D7"/>
        </x:patternFill>
      </x:fill>
    </x:dxf>
    <x:dxf>
      <x:font>
        <x:color rgb="FF6A747B"/>
      </x:font>
      <x:fill>
        <x:patternFill patternType="solid">
          <x:bgColor rgb="FFE3E7EA"/>
        </x:patternFill>
      </x:fill>
    </x:dxf>
    <x:dxf>
      <x:font>
        <x:b/>
        <x:color rgb="FF8B2D2D"/>
      </x:font>
      <x:fill>
        <x:patternFill patternType="solid">
          <x:bgColor rgb="FFF7D7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9f85b84204018" /><Relationship Type="http://schemas.openxmlformats.org/officeDocument/2006/relationships/theme" Target="/xl/theme/theme1.xml" Id="R1431c44621c4407a" /><Relationship Type="http://schemas.openxmlformats.org/officeDocument/2006/relationships/sharedStrings" Target="/xl/sharedStrings.xml" Id="R53214e0bf388442e" /><Relationship Type="http://schemas.openxmlformats.org/officeDocument/2006/relationships/worksheet" Target="/xl/worksheets/sheet1.xml" Id="R0113fd411b82429a" /><Relationship Type="http://schemas.openxmlformats.org/officeDocument/2006/relationships/worksheet" Target="/xl/worksheets/sheet2.xml" Id="R55c55ccf4d3745c7" /><Relationship Type="http://schemas.openxmlformats.org/officeDocument/2006/relationships/worksheet" Target="/xl/worksheets/sheet3.xml" Id="R7142c3326b7647af" /><Relationship Type="http://schemas.openxmlformats.org/officeDocument/2006/relationships/worksheet" Target="/xl/worksheets/sheet4.xml" Id="R9f87e4589a4c4db1" /></Relationships>
</file>

<file path=xl/tables/table1.xml><?xml version="1.0" encoding="utf-8"?>
<x:table xmlns:x="http://schemas.openxmlformats.org/spreadsheetml/2006/main" id="3" name="RegionOverviewTable" displayName="RegionOverviewTable" ref="A3:J7" headerRowCount="1" totalsRowCount="0" totalsRowShown="0">
  <x:tableColumns count="10">
    <x:tableColumn id="1" name="RegionID"/>
    <x:tableColumn id="2" name="区域名称"/>
    <x:tableColumn id="3" name="ArenaRoot"/>
    <x:tableColumn id="4" name="波次数"/>
    <x:tableColumn id="5" name="启用敌人数"/>
    <x:tableColumn id="6" name="目标时长(秒)"/>
    <x:tableColumn id="7" name="教学/策略重点"/>
    <x:tableColumn id="8" name="进入方向"/>
    <x:tableColumn id="9" name="清场出口"/>
    <x:tableColumn id="10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awnConfigTable" displayName="SpawnConfigTable" ref="A4:V15" headerRowCount="1" totalsRowCount="0" totalsRowShown="0">
  <x:tableColumns count="22">
    <x:tableColumn id="1" name="启用"/>
    <x:tableColumn id="2" name="ScenePath"/>
    <x:tableColumn id="3" name="RegionID"/>
    <x:tableColumn id="4" name="区域名称"/>
    <x:tableColumn id="5" name="ArenaRoot"/>
    <x:tableColumn id="6" name="WaveSpawner"/>
    <x:tableColumn id="7" name="SpawnPointsGroup"/>
    <x:tableColumn id="8" name="WaveIndex"/>
    <x:tableColumn id="9" name="WaveName"/>
    <x:tableColumn id="10" name="DelaySec"/>
    <x:tableColumn id="11" name="SpawnEntryIndex"/>
    <x:tableColumn id="12" name="SpawnPointNode"/>
    <x:tableColumn id="13" name="LocalX"/>
    <x:tableColumn id="14" name="LocalY"/>
    <x:tableColumn id="15" name="EnemyTypeKey"/>
    <x:tableColumn id="16" name="Count"/>
    <x:tableColumn id="17" name="PrefabPath"/>
    <x:tableColumn id="18" name="AssetStatus"/>
    <x:tableColumn id="19" name="出生点角色"/>
    <x:tableColumn id="20" name="建议连斩顺序"/>
    <x:tableColumn id="21" name="设计目的"/>
    <x:tableColumn id="22" name="验证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emyTypeMappingTable" displayName="EnemyTypeMappingTable" ref="A5:H11" headerRowCount="1" totalsRowCount="0" totalsRowShown="0">
  <x:tableColumns count="8">
    <x:tableColumn id="1" name="EnemyTypeKey"/>
    <x:tableColumn id="2" name="显示名称"/>
    <x:tableColumn id="3" name="战斗角色"/>
    <x:tableColumn id="4" name="EnemyData 路径"/>
    <x:tableColumn id="5" name="PrefabPath"/>
    <x:tableColumn id="6" name="AssetStatus"/>
    <x:tableColumn id="7" name="必要组件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114e5fc41f44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57fddb41564a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5ece0339af43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4" hidden="0" customWidth="1"/>
    <x:col min="5" max="5" width="30" hidden="0" customWidth="1"/>
    <x:col min="6" max="6" width="36" hidden="0" customWidth="1"/>
  </x:cols>
  <x:sheetData>
    <x:row r="1" ht="30" customHeight="1">
      <x:c r="A1" s="38" t="str">
        <x:v>Level_LD 敌人布置配置｜使用说明</x:v>
      </x:c>
      <x:c r="B1" s="38" t="str">
        <x:v>Level_LD 敌人布置配置｜使用说明</x:v>
      </x:c>
      <x:c r="C1" s="38" t="str">
        <x:v>Level_LD 敌人布置配置｜使用说明</x:v>
      </x:c>
      <x:c r="D1" s="38" t="str">
        <x:v>Level_LD 敌人布置配置｜使用说明</x:v>
      </x:c>
      <x:c r="E1" s="38" t="str">
        <x:v>Level_LD 敌人布置配置｜使用说明</x:v>
      </x:c>
      <x:c r="F1" s="38" t="str">
        <x:v>Level_LD 敌人布置配置｜使用说明</x:v>
      </x:c>
    </x:row>
    <x:row r="2">
      <x:c r="A2" s="39"/>
      <x:c r="B2" s="39"/>
      <x:c r="C2" s="39"/>
      <x:c r="D2" s="39"/>
      <x:c r="E2" s="39"/>
      <x:c r="F2" s="39"/>
    </x:row>
    <x:row r="3">
      <x:c r="A3" s="40" t="str">
        <x:v>目标：先用稳定类型键完成关卡布怪设计；敌人 Prefab 到位后，只更新映射表即可批量写入 WaveSpawner。</x:v>
      </x:c>
      <x:c r="B3" s="40" t="str">
        <x:v>目标：先用稳定类型键完成关卡布怪设计；敌人 Prefab 到位后，只更新映射表即可批量写入 WaveSpawner。</x:v>
      </x:c>
      <x:c r="C3" s="40" t="str">
        <x:v>目标：先用稳定类型键完成关卡布怪设计；敌人 Prefab 到位后，只更新映射表即可批量写入 WaveSpawner。</x:v>
      </x:c>
      <x:c r="D3" s="40" t="str">
        <x:v>目标：先用稳定类型键完成关卡布怪设计；敌人 Prefab 到位后，只更新映射表即可批量写入 WaveSpawner。</x:v>
      </x:c>
      <x:c r="E3" s="40" t="str">
        <x:v>目标：先用稳定类型键完成关卡布怪设计；敌人 Prefab 到位后，只更新映射表即可批量写入 WaveSpawner。</x:v>
      </x:c>
      <x:c r="F3" s="40" t="str">
        <x:v>目标：先用稳定类型键完成关卡布怪设计；敌人 Prefab 到位后，只更新映射表即可批量写入 WaveSpawner。</x:v>
      </x:c>
    </x:row>
    <x:row r="4">
      <x:c r="A4" s="39"/>
      <x:c r="B4" s="39"/>
      <x:c r="C4" s="39"/>
      <x:c r="D4" s="39"/>
      <x:c r="E4" s="39"/>
      <x:c r="F4" s="39"/>
    </x:row>
    <x:row r="5" ht="34" customHeight="1">
      <x:c r="A5" s="41" t="str">
        <x:v>步骤</x:v>
      </x:c>
      <x:c r="B5" s="42" t="str">
        <x:v>当前执行人</x:v>
      </x:c>
      <x:c r="C5" s="42" t="str">
        <x:v>操作</x:v>
      </x:c>
      <x:c r="D5" s="42" t="str">
        <x:v>数据来源</x:v>
      </x:c>
      <x:c r="E5" s="42" t="str">
        <x:v>完成条件</x:v>
      </x:c>
      <x:c r="F5" s="43" t="str">
        <x:v>注意事项</x:v>
      </x:c>
    </x:row>
    <x:row r="6" ht="42" customHeight="1">
      <x:c r="A6" s="44" t="n">
        <x:v>1</x:v>
      </x:c>
      <x:c r="B6" s="44" t="str">
        <x:v>关卡策划</x:v>
      </x:c>
      <x:c r="C6" s="44" t="str">
        <x:v>用现有工具创建 Root_Arena_01～04 / Group_WaveSpawner / Group_SpawnPoints</x:v>
      </x:c>
      <x:c r="D6" s="44" t="str">
        <x:v>区域总览</x:v>
      </x:c>
      <x:c r="E6" s="44" t="str">
        <x:v>Hierarchy 节点名与表一致</x:v>
      </x:c>
      <x:c r="F6" s="44" t="str">
        <x:v>每个战区优先只放一个 WaveSpawner</x:v>
      </x:c>
    </x:row>
    <x:row r="7" ht="42" customHeight="1">
      <x:c r="A7" s="45" t="n">
        <x:v>2</x:v>
      </x:c>
      <x:c r="B7" s="45" t="str">
        <x:v>关卡策划</x:v>
      </x:c>
      <x:c r="C7" s="45" t="str">
        <x:v>创建或移动 SpawnPoint 节点</x:v>
      </x:c>
      <x:c r="D7" s="45" t="str">
        <x:v>布怪配置 LocalX/LocalY</x:v>
      </x:c>
      <x:c r="E7" s="45" t="str">
        <x:v>出生点 Local Position 与表一致</x:v>
      </x:c>
      <x:c r="F7" s="45" t="str">
        <x:v>坐标相对 Root_Arena；玩家从南侧进入</x:v>
      </x:c>
    </x:row>
    <x:row r="8" ht="42" customHeight="1">
      <x:c r="A8" s="45" t="n">
        <x:v>3</x:v>
      </x:c>
      <x:c r="B8" s="45" t="str">
        <x:v>程序/美术</x:v>
      </x:c>
      <x:c r="C8" s="45" t="str">
        <x:v>制作带 EnemyAgent 的敌人 Prefab</x:v>
      </x:c>
      <x:c r="D8" s="45" t="str">
        <x:v>敌人类型映射</x:v>
      </x:c>
      <x:c r="E8" s="45" t="str">
        <x:v>Prefab 可独立运行并能被销毁/失活</x:v>
      </x:c>
      <x:c r="F8" s="45" t="str">
        <x:v>不要使用旧 ExtraEnemyController 对象</x:v>
      </x:c>
    </x:row>
    <x:row r="9" ht="42" customHeight="1">
      <x:c r="A9" s="45" t="n">
        <x:v>4</x:v>
      </x:c>
      <x:c r="B9" s="45" t="str">
        <x:v>关卡策划</x:v>
      </x:c>
      <x:c r="C9" s="45" t="str">
        <x:v>回填 PrefabPath 与 AssetStatus</x:v>
      </x:c>
      <x:c r="D9" s="45" t="str">
        <x:v>敌人类型映射</x:v>
      </x:c>
      <x:c r="E9" s="45" t="str">
        <x:v>布怪配置自动显示路径和状态</x:v>
      </x:c>
      <x:c r="F9" s="45" t="str">
        <x:v>只改映射表，不改每个出生点</x:v>
      </x:c>
    </x:row>
    <x:row r="10" ht="42" customHeight="1">
      <x:c r="A10" s="46" t="n">
        <x:v>5</x:v>
      </x:c>
      <x:c r="B10" s="46" t="str">
        <x:v>后续由 Codex 配置</x:v>
      </x:c>
      <x:c r="C10" s="46" t="str">
        <x:v>检索 Root_Arena 父节点及其 Group_WaveSpawner、Group_SpawnPoints 后按表写入</x:v>
      </x:c>
      <x:c r="D10" s="46" t="str">
        <x:v>布怪配置</x:v>
      </x:c>
      <x:c r="E10" s="46" t="str">
        <x:v>Waves、Spawns、SpawnPoints、Count 全部匹配</x:v>
      </x:c>
      <x:c r="F10" s="46" t="str">
        <x:v>同组 Count 为启用行的数量之和；保留现有层级</x:v>
      </x:c>
    </x:row>
    <x:row r="11">
      <x:c r="A11" s="39"/>
      <x:c r="B11" s="39"/>
      <x:c r="C11" s="39"/>
      <x:c r="D11" s="39"/>
      <x:c r="E11" s="39"/>
      <x:c r="F11" s="39"/>
    </x:row>
    <x:row r="12">
      <x:c r="A12" s="47" t="str">
        <x:v>稳定命名规则</x:v>
      </x:c>
      <x:c r="B12" s="47" t="str">
        <x:v>稳定命名规则</x:v>
      </x:c>
      <x:c r="C12" s="47" t="str">
        <x:v>稳定命名规则</x:v>
      </x:c>
      <x:c r="D12" s="47" t="str">
        <x:v>稳定命名规则</x:v>
      </x:c>
      <x:c r="E12" s="47" t="str">
        <x:v>稳定命名规则</x:v>
      </x:c>
      <x:c r="F12" s="47" t="str">
        <x:v>稳定命名规则</x:v>
      </x:c>
    </x:row>
    <x:row r="13" ht="38" customHeight="1">
      <x:c r="A13" s="48" t="str">
        <x:v>区域根节点</x:v>
      </x:c>
      <x:c r="B13" s="44" t="str">
        <x:v>Root_Arena_01、Root_Arena_02、Root_Arena_03、Root_Arena_04</x:v>
      </x:c>
      <x:c r="C13" s="39"/>
      <x:c r="D13" s="39"/>
      <x:c r="E13" s="39"/>
      <x:c r="F13" s="39"/>
    </x:row>
    <x:row r="14" ht="38" customHeight="1">
      <x:c r="A14" s="49" t="str">
        <x:v>生成器</x:v>
      </x:c>
      <x:c r="B14" s="45" t="str">
        <x:v>Group_WaveSpawner</x:v>
      </x:c>
      <x:c r="C14" s="39"/>
      <x:c r="D14" s="39"/>
      <x:c r="E14" s="39"/>
      <x:c r="F14" s="39"/>
    </x:row>
    <x:row r="15" ht="38" customHeight="1">
      <x:c r="A15" s="49" t="str">
        <x:v>出生点</x:v>
      </x:c>
      <x:c r="B15" s="45" t="str">
        <x:v>Point_&lt;RegionID&gt;_W&lt;波次&gt;_&lt;兵种&gt;_&lt;位置&gt;</x:v>
      </x:c>
      <x:c r="C15" s="39"/>
      <x:c r="D15" s="39"/>
      <x:c r="E15" s="39"/>
      <x:c r="F15" s="39"/>
    </x:row>
    <x:row r="16" ht="38" customHeight="1">
      <x:c r="A16" s="49" t="str">
        <x:v>敌人类型</x:v>
      </x:c>
      <x:c r="B16" s="45" t="str">
        <x:v>只使用 EnemyTypeKey，不把美术文件名写进布怪表</x:v>
      </x:c>
      <x:c r="C16" s="39"/>
      <x:c r="D16" s="39"/>
      <x:c r="E16" s="39"/>
      <x:c r="F16" s="39"/>
    </x:row>
    <x:row r="17" ht="38" customHeight="1">
      <x:c r="A17" s="50" t="str">
        <x:v>批量分组键</x:v>
      </x:c>
      <x:c r="B17" s="46" t="str">
        <x:v>RegionID + WaveIndex + SpawnEntryIndex + EnemyTypeKey</x:v>
      </x:c>
      <x:c r="C17" s="39"/>
      <x:c r="D17" s="39"/>
      <x:c r="E17" s="39"/>
      <x:c r="F17" s="39"/>
    </x:row>
    <x:row r="18">
      <x:c r="A18" s="39"/>
      <x:c r="B18" s="39"/>
      <x:c r="C18" s="39"/>
      <x:c r="D18" s="39"/>
      <x:c r="E18" s="39"/>
      <x:c r="F18" s="39"/>
    </x:row>
    <x:row r="19">
      <x:c r="A19" s="39"/>
      <x:c r="B19" s="39"/>
      <x:c r="C19" s="39"/>
      <x:c r="D19" s="39"/>
      <x:c r="E19" s="39"/>
      <x:c r="F19" s="39"/>
    </x:row>
    <x:row r="20">
      <x:c r="A20" s="39"/>
      <x:c r="B20" s="39"/>
      <x:c r="C20" s="39"/>
      <x:c r="D20" s="39"/>
      <x:c r="E20" s="39"/>
      <x:c r="F20" s="39"/>
    </x:row>
  </x:sheetData>
  <x:mergeCells>
    <x:mergeCell ref="A1:F1"/>
    <x:mergeCell ref="A3:F3"/>
    <x:mergeCell ref="A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10" hidden="0" customWidth="1"/>
    <x:col min="5" max="5" width="12" hidden="0" customWidth="1"/>
    <x:col min="6" max="6" width="14" hidden="0" customWidth="1"/>
    <x:col min="7" max="7" width="46" hidden="0" customWidth="1"/>
    <x:col min="8" max="8" width="14" hidden="0" customWidth="1"/>
    <x:col min="9" max="9" width="16" hidden="0" customWidth="1"/>
    <x:col min="10" max="10" width="16" hidden="0" customWidth="1"/>
  </x:cols>
  <x:sheetData>
    <x:row r="1" ht="30" customHeight="1">
      <x:c r="A1" s="38" t="str">
        <x:v>Level_LD 区域布怪总览</x:v>
      </x:c>
      <x:c r="B1" s="38" t="str">
        <x:v>Level_LD 区域布怪总览</x:v>
      </x:c>
      <x:c r="C1" s="38" t="str">
        <x:v>Level_LD 区域布怪总览</x:v>
      </x:c>
      <x:c r="D1" s="38" t="str">
        <x:v>Level_LD 区域布怪总览</x:v>
      </x:c>
      <x:c r="E1" s="38" t="str">
        <x:v>Level_LD 区域布怪总览</x:v>
      </x:c>
      <x:c r="F1" s="38" t="str">
        <x:v>Level_LD 区域布怪总览</x:v>
      </x:c>
      <x:c r="G1" s="38" t="str">
        <x:v>Level_LD 区域布怪总览</x:v>
      </x:c>
      <x:c r="H1" s="38" t="str">
        <x:v>Level_LD 区域布怪总览</x:v>
      </x:c>
      <x:c r="I1" s="38" t="str">
        <x:v>Level_LD 区域布怪总览</x:v>
      </x:c>
      <x:c r="J1" s="38" t="str">
        <x:v>Level_LD 区域布怪总览</x:v>
      </x:c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34" customHeight="1">
      <x:c r="A3" s="41" t="str">
        <x:v>RegionID</x:v>
      </x:c>
      <x:c r="B3" s="42" t="str">
        <x:v>区域名称</x:v>
      </x:c>
      <x:c r="C3" s="42" t="str">
        <x:v>ArenaRoot</x:v>
      </x:c>
      <x:c r="D3" s="42" t="str">
        <x:v>波次数</x:v>
      </x:c>
      <x:c r="E3" s="42" t="str">
        <x:v>启用敌人数</x:v>
      </x:c>
      <x:c r="F3" s="42" t="str">
        <x:v>目标时长(秒)</x:v>
      </x:c>
      <x:c r="G3" s="42" t="str">
        <x:v>教学/策略重点</x:v>
      </x:c>
      <x:c r="H3" s="42" t="str">
        <x:v>进入方向</x:v>
      </x:c>
      <x:c r="I3" s="42" t="str">
        <x:v>清场出口</x:v>
      </x:c>
      <x:c r="J3" s="43" t="str">
        <x:v>状态</x:v>
      </x:c>
    </x:row>
    <x:row r="4">
      <x:c r="A4" s="44" t="str">
        <x:v>A01</x:v>
      </x:c>
      <x:c r="B4" s="44" t="str">
        <x:v>雪峰古道·教学段</x:v>
      </x:c>
      <x:c r="C4" s="44" t="str">
        <x:v>Root_Arena_01</x:v>
      </x:c>
      <x:c r="D4" s="95" t="n">
        <x:v>2</x:v>
      </x:c>
      <x:c r="E4" s="96" t="n">
        <x:f>SUMIFS('布怪配置'!$P$5:$P$100,'布怪配置'!$C$5:$C$100,A4,'布怪配置'!$A$5:$A$100,"是")</x:f>
        <x:v>4</x:v>
      </x:c>
      <x:c r="F4" s="95" t="n">
        <x:v>45</x:v>
      </x:c>
      <x:c r="G4" s="44" t="str">
        <x:v>单敌完美闪避 → 三杀连斩</x:v>
      </x:c>
      <x:c r="H4" s="44" t="str">
        <x:v>南</x:v>
      </x:c>
      <x:c r="I4" s="44" t="str">
        <x:v>北</x:v>
      </x:c>
      <x:c r="J4" s="44" t="str">
        <x:v>待摆放</x:v>
      </x:c>
    </x:row>
    <x:row r="5">
      <x:c r="A5" s="45" t="str">
        <x:v>A02</x:v>
      </x:c>
      <x:c r="B5" s="45" t="str">
        <x:v>山寨·山间小屋</x:v>
      </x:c>
      <x:c r="C5" s="45" t="str">
        <x:v>Root_Arena_02</x:v>
      </x:c>
      <x:c r="D5" s="97" t="n">
        <x:v>1</x:v>
      </x:c>
      <x:c r="E5" s="98" t="n">
        <x:f>SUMIFS('布怪配置'!$P$5:$P$100,'布怪配置'!$C$5:$C$100,A5,'布怪配置'!$A$5:$A$100,"是")</x:f>
        <x:v>3</x:v>
      </x:c>
      <x:c r="F5" s="97" t="n">
        <x:v>50</x:v>
      </x:c>
      <x:c r="G5" s="45" t="str">
        <x:v>近战起手＋双后排的目标优先级</x:v>
      </x:c>
      <x:c r="H5" s="45" t="str">
        <x:v>南/西南</x:v>
      </x:c>
      <x:c r="I5" s="45" t="str">
        <x:v>北</x:v>
      </x:c>
      <x:c r="J5" s="45" t="str">
        <x:v>待摆放</x:v>
      </x:c>
    </x:row>
    <x:row r="6">
      <x:c r="A6" s="45" t="str">
        <x:v>A03</x:v>
      </x:c>
      <x:c r="B6" s="45" t="str">
        <x:v>雪寺山门</x:v>
      </x:c>
      <x:c r="C6" s="45" t="str">
        <x:v>Root_Arena_03</x:v>
      </x:c>
      <x:c r="D6" s="97" t="n">
        <x:v>1</x:v>
      </x:c>
      <x:c r="E6" s="98" t="n">
        <x:f>SUMIFS('布怪配置'!$P$5:$P$100,'布怪配置'!$C$5:$C$100,A6,'布怪配置'!$A$5:$A$100,"是")</x:f>
        <x:v>3</x:v>
      </x:c>
      <x:c r="F6" s="97" t="n">
        <x:v>60</x:v>
      </x:c>
      <x:c r="G6" s="45" t="str">
        <x:v>弓兵与盾兵的连斩顺序、侧后方落点</x:v>
      </x:c>
      <x:c r="H6" s="45" t="str">
        <x:v>南</x:v>
      </x:c>
      <x:c r="I6" s="45" t="str">
        <x:v>北</x:v>
      </x:c>
      <x:c r="J6" s="45" t="str">
        <x:v>待摆放</x:v>
      </x:c>
    </x:row>
    <x:row r="7">
      <x:c r="A7" s="46" t="str">
        <x:v>A04</x:v>
      </x:c>
      <x:c r="B7" s="46" t="str">
        <x:v>主殿决战庭院</x:v>
      </x:c>
      <x:c r="C7" s="46" t="str">
        <x:v>Root_Arena_04</x:v>
      </x:c>
      <x:c r="D7" s="99" t="n">
        <x:v>1</x:v>
      </x:c>
      <x:c r="E7" s="100" t="n">
        <x:f>SUMIFS('布怪配置'!$P$5:$P$100,'布怪配置'!$C$5:$C$100,A7,'布怪配置'!$A$5:$A$100,"是")</x:f>
        <x:v>0</x:v>
      </x:c>
      <x:c r="F7" s="99" t="n">
        <x:v>90</x:v>
      </x:c>
      <x:c r="G7" s="46" t="str">
        <x:v>三次破甲精英；每次破甲后推开玩家</x:v>
      </x:c>
      <x:c r="H7" s="46" t="str">
        <x:v>南</x:v>
      </x:c>
      <x:c r="I7" s="46" t="str">
        <x:v>胜利结算</x:v>
      </x:c>
      <x:c r="J7" s="46" t="str">
        <x:v>程序阻塞</x:v>
      </x:c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</x:row>
    <x:row r="9" ht="34" customHeight="1">
      <x:c r="A9" s="41" t="str">
        <x:v>汇总指标</x:v>
      </x:c>
      <x:c r="B9" s="43" t="str">
        <x:v>数值</x:v>
      </x:c>
      <x:c r="C9" s="39"/>
      <x:c r="D9" s="39"/>
      <x:c r="E9" s="39"/>
      <x:c r="F9" s="39"/>
      <x:c r="G9" s="39"/>
      <x:c r="H9" s="39"/>
      <x:c r="I9" s="39"/>
      <x:c r="J9" s="39"/>
    </x:row>
    <x:row r="10">
      <x:c r="A10" s="44" t="str">
        <x:v>启用区域数</x:v>
      </x:c>
      <x:c r="B10" s="77" t="n">
        <x:f>COUNTIF(J4:J7,"&lt;&gt;程序阻塞")</x:f>
        <x:v>3</x:v>
      </x:c>
      <x:c r="C10" s="39"/>
      <x:c r="D10" s="39"/>
      <x:c r="E10" s="39"/>
      <x:c r="F10" s="39"/>
      <x:c r="G10" s="39"/>
      <x:c r="H10" s="39"/>
      <x:c r="I10" s="39"/>
      <x:c r="J10" s="39"/>
    </x:row>
    <x:row r="11">
      <x:c r="A11" s="45" t="str">
        <x:v>启用敌人数</x:v>
      </x:c>
      <x:c r="B11" s="81" t="n">
        <x:f>SUM(E4:E7)</x:f>
        <x:v>10</x:v>
      </x:c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45" t="str">
        <x:v>预计战斗时长(秒)</x:v>
      </x:c>
      <x:c r="B12" s="81" t="n">
        <x:f>SUMIF(J4:J7,"&lt;&gt;程序阻塞",F4:F7)</x:f>
        <x:v>155</x:v>
      </x:c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46" t="str">
        <x:v>五分钟预算剩余(秒)</x:v>
      </x:c>
      <x:c r="B13" s="85" t="n">
        <x:f>300-B12</x:f>
        <x:v>145</x:v>
      </x:c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</x:sheetData>
  <x:mergeCells>
    <x:mergeCell ref="A1:J1"/>
  </x:mergeCells>
  <x:conditionalFormatting sqref="J4:J20">
    <x:cfRule type="containsText" dxfId="7" priority="1" operator="containsText" text="阻塞"/>
  </x:conditionalFormatting>
  <x:dataValidations count="1">
    <x:dataValidation type="list" sqref="J4:J20">
      <x:formula1>"待摆放,已摆放,已验证,程序阻塞,美术阻塞"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114e5fc41f44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0" hidden="0" customWidth="1"/>
    <x:col min="4" max="4" width="20" hidden="0" customWidth="1"/>
    <x:col min="5" max="5" width="34" hidden="0" customWidth="1"/>
    <x:col min="6" max="6" width="22" hidden="0" customWidth="1"/>
    <x:col min="7" max="7" width="24" hidden="0" customWidth="1"/>
    <x:col min="8" max="8" width="10" hidden="0" customWidth="1"/>
    <x:col min="9" max="9" width="22" hidden="0" customWidth="1"/>
    <x:col min="10" max="10" width="10" hidden="0" customWidth="1"/>
    <x:col min="11" max="11" width="14" hidden="0" customWidth="1"/>
    <x:col min="12" max="12" width="38" hidden="0" customWidth="1"/>
    <x:col min="13" max="13" width="9" hidden="0" customWidth="1"/>
    <x:col min="14" max="14" width="9" hidden="0" customWidth="1"/>
    <x:col min="15" max="15" width="24" hidden="0" customWidth="1"/>
    <x:col min="16" max="16" width="8" hidden="0" customWidth="1"/>
    <x:col min="17" max="17" width="58" hidden="0" customWidth="1"/>
    <x:col min="18" max="18" width="18" hidden="0" customWidth="1"/>
    <x:col min="19" max="19" width="22" hidden="0" customWidth="1"/>
    <x:col min="20" max="20" width="14" hidden="0" customWidth="1"/>
    <x:col min="21" max="21" width="48" hidden="0" customWidth="1"/>
    <x:col min="22" max="22" width="16" hidden="0" customWidth="1"/>
  </x:cols>
  <x:sheetData>
    <x:row r="1" ht="30" customHeight="1">
      <x:c r="A1" s="38" t="str">
        <x:v>Level_LD 布怪配置｜一行代表一个出生实例</x:v>
      </x:c>
      <x:c r="B1" s="38" t="str">
        <x:v>Level_LD 布怪配置｜一行代表一个出生实例</x:v>
      </x:c>
      <x:c r="C1" s="38" t="str">
        <x:v>Level_LD 布怪配置｜一行代表一个出生实例</x:v>
      </x:c>
      <x:c r="D1" s="38" t="str">
        <x:v>Level_LD 布怪配置｜一行代表一个出生实例</x:v>
      </x:c>
      <x:c r="E1" s="38" t="str">
        <x:v>Level_LD 布怪配置｜一行代表一个出生实例</x:v>
      </x:c>
      <x:c r="F1" s="38" t="str">
        <x:v>Level_LD 布怪配置｜一行代表一个出生实例</x:v>
      </x:c>
      <x:c r="G1" s="38" t="str">
        <x:v>Level_LD 布怪配置｜一行代表一个出生实例</x:v>
      </x:c>
      <x:c r="H1" s="38" t="str">
        <x:v>Level_LD 布怪配置｜一行代表一个出生实例</x:v>
      </x:c>
      <x:c r="I1" s="38" t="str">
        <x:v>Level_LD 布怪配置｜一行代表一个出生实例</x:v>
      </x:c>
      <x:c r="J1" s="38" t="str">
        <x:v>Level_LD 布怪配置｜一行代表一个出生实例</x:v>
      </x:c>
      <x:c r="K1" s="38" t="str">
        <x:v>Level_LD 布怪配置｜一行代表一个出生实例</x:v>
      </x:c>
      <x:c r="L1" s="38" t="str">
        <x:v>Level_LD 布怪配置｜一行代表一个出生实例</x:v>
      </x:c>
      <x:c r="M1" s="38" t="str">
        <x:v>Level_LD 布怪配置｜一行代表一个出生实例</x:v>
      </x:c>
      <x:c r="N1" s="38" t="str">
        <x:v>Level_LD 布怪配置｜一行代表一个出生实例</x:v>
      </x:c>
      <x:c r="O1" s="38" t="str">
        <x:v>Level_LD 布怪配置｜一行代表一个出生实例</x:v>
      </x:c>
      <x:c r="P1" s="38" t="str">
        <x:v>Level_LD 布怪配置｜一行代表一个出生实例</x:v>
      </x:c>
      <x:c r="Q1" s="38" t="str">
        <x:v>Level_LD 布怪配置｜一行代表一个出生实例</x:v>
      </x:c>
      <x:c r="R1" s="38" t="str">
        <x:v>Level_LD 布怪配置｜一行代表一个出生实例</x:v>
      </x:c>
      <x:c r="S1" s="38" t="str">
        <x:v>Level_LD 布怪配置｜一行代表一个出生实例</x:v>
      </x:c>
      <x:c r="T1" s="38" t="str">
        <x:v>Level_LD 布怪配置｜一行代表一个出生实例</x:v>
      </x:c>
      <x:c r="U1" s="38" t="str">
        <x:v>Level_LD 布怪配置｜一行代表一个出生实例</x:v>
      </x:c>
      <x:c r="V1" s="38" t="str">
        <x:v>Level_LD 布怪配置｜一行代表一个出生实例</x:v>
      </x:c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</x:row>
    <x:row r="3">
      <x:c r="A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B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C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D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E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F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G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H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I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J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K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L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M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N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O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P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Q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R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S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T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U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  <x:c r="V3" s="40" t="str">
        <x:v>未来批量写入时，按 RegionID + WaveIndex + SpawnEntryIndex + EnemyTypeKey 分组；同组启用行数汇总为 Count，SpawnPointNode 汇总为 SpawnPoints。黄色列可由关卡策划调整，绿色列由映射表自动带出。</x:v>
      </x:c>
    </x:row>
    <x:row r="4" ht="34" customHeight="1">
      <x:c r="A4" s="41" t="str">
        <x:v>启用</x:v>
      </x:c>
      <x:c r="B4" s="42" t="str">
        <x:v>ScenePath</x:v>
      </x:c>
      <x:c r="C4" s="42" t="str">
        <x:v>RegionID</x:v>
      </x:c>
      <x:c r="D4" s="42" t="str">
        <x:v>区域名称</x:v>
      </x:c>
      <x:c r="E4" s="42" t="str">
        <x:v>ArenaRoot</x:v>
      </x:c>
      <x:c r="F4" s="42" t="str">
        <x:v>WaveSpawner</x:v>
      </x:c>
      <x:c r="G4" s="42" t="str">
        <x:v>SpawnPointsGroup</x:v>
      </x:c>
      <x:c r="H4" s="42" t="str">
        <x:v>WaveIndex</x:v>
      </x:c>
      <x:c r="I4" s="42" t="str">
        <x:v>WaveName</x:v>
      </x:c>
      <x:c r="J4" s="42" t="str">
        <x:v>DelaySec</x:v>
      </x:c>
      <x:c r="K4" s="42" t="str">
        <x:v>SpawnEntryIndex</x:v>
      </x:c>
      <x:c r="L4" s="42" t="str">
        <x:v>SpawnPointNode</x:v>
      </x:c>
      <x:c r="M4" s="42" t="str">
        <x:v>LocalX</x:v>
      </x:c>
      <x:c r="N4" s="42" t="str">
        <x:v>LocalY</x:v>
      </x:c>
      <x:c r="O4" s="42" t="str">
        <x:v>EnemyTypeKey</x:v>
      </x:c>
      <x:c r="P4" s="42" t="str">
        <x:v>Count</x:v>
      </x:c>
      <x:c r="Q4" s="42" t="str">
        <x:v>PrefabPath</x:v>
      </x:c>
      <x:c r="R4" s="42" t="str">
        <x:v>AssetStatus</x:v>
      </x:c>
      <x:c r="S4" s="42" t="str">
        <x:v>出生点角色</x:v>
      </x:c>
      <x:c r="T4" s="42" t="str">
        <x:v>建议连斩顺序</x:v>
      </x:c>
      <x:c r="U4" s="42" t="str">
        <x:v>设计目的</x:v>
      </x:c>
      <x:c r="V4" s="43" t="str">
        <x:v>验证状态</x:v>
      </x:c>
    </x:row>
    <x:row r="5">
      <x:c r="A5" s="58" t="str">
        <x:v>是</x:v>
      </x:c>
      <x:c r="B5" s="58" t="str">
        <x:v>Assets/Scenes/Level_LD.unity</x:v>
      </x:c>
      <x:c r="C5" s="58" t="str">
        <x:v>A01</x:v>
      </x:c>
      <x:c r="D5" s="58" t="str">
        <x:v>雪峰古道·教学段</x:v>
      </x:c>
      <x:c r="E5" s="58" t="str">
        <x:v>Root_Arena_01</x:v>
      </x:c>
      <x:c r="F5" s="58" t="str">
        <x:v>Group_WaveSpawner</x:v>
      </x:c>
      <x:c r="G5" s="58" t="str">
        <x:v>Group_SpawnPoints</x:v>
      </x:c>
      <x:c r="H5" s="75" t="n">
        <x:v>1</x:v>
      </x:c>
      <x:c r="I5" s="58" t="str">
        <x:v>PerfectDodgeIntro</x:v>
      </x:c>
      <x:c r="J5" s="76" t="n">
        <x:v>0.3</x:v>
      </x:c>
      <x:c r="K5" s="75" t="n">
        <x:v>1</x:v>
      </x:c>
      <x:c r="L5" s="58" t="str">
        <x:v>Point_A01_W01_Sword_Starter</x:v>
      </x:c>
      <x:c r="M5" s="76" t="n">
        <x:v>0</x:v>
      </x:c>
      <x:c r="N5" s="76" t="n">
        <x:v>1.6</x:v>
      </x:c>
      <x:c r="O5" s="58" t="str">
        <x:v>ENEMY_SWORDSMAN</x:v>
      </x:c>
      <x:c r="P5" s="75" t="n">
        <x:v>1</x:v>
      </x:c>
      <x:c r="Q5" s="77" t="str">
        <x:f>IFERROR(IF(VLOOKUP(O5,'敌人类型映射'!$A$6:$H$20,5,FALSE)="","",VLOOKUP(O5,'敌人类型映射'!$A$6:$H$20,5,FALSE)),"")</x:f>
      </x:c>
      <x:c r="R5" s="77" t="str">
        <x:f>IFERROR(VLOOKUP(O5,'敌人类型映射'!$A$6:$H$20,6,FALSE),"类型未登记")</x:f>
        <x:v>待接入</x:v>
      </x:c>
      <x:c r="S5" s="78" t="str">
        <x:v>正面起手</x:v>
      </x:c>
      <x:c r="T5" s="78" t="n">
        <x:v>1</x:v>
      </x:c>
      <x:c r="U5" s="78" t="str">
        <x:v>单敌教学完美闪避；不加入额外干扰</x:v>
      </x:c>
      <x:c r="V5" s="78" t="str">
        <x:v>待摆放</x:v>
      </x:c>
    </x:row>
    <x:row r="6">
      <x:c r="A6" s="59" t="str">
        <x:v>是</x:v>
      </x:c>
      <x:c r="B6" s="59" t="str">
        <x:v>Assets/Scenes/Level_LD.unity</x:v>
      </x:c>
      <x:c r="C6" s="59" t="str">
        <x:v>A01</x:v>
      </x:c>
      <x:c r="D6" s="59" t="str">
        <x:v>雪峰古道·教学段</x:v>
      </x:c>
      <x:c r="E6" s="59" t="str">
        <x:v>Root_Arena_01</x:v>
      </x:c>
      <x:c r="F6" s="59" t="str">
        <x:v>Group_WaveSpawner</x:v>
      </x:c>
      <x:c r="G6" s="59" t="str">
        <x:v>Group_SpawnPoints</x:v>
      </x:c>
      <x:c r="H6" s="79" t="n">
        <x:v>2</x:v>
      </x:c>
      <x:c r="I6" s="59" t="str">
        <x:v>ThreeKillChain</x:v>
      </x:c>
      <x:c r="J6" s="80" t="n">
        <x:v>0.5</x:v>
      </x:c>
      <x:c r="K6" s="79" t="n">
        <x:v>1</x:v>
      </x:c>
      <x:c r="L6" s="59" t="str">
        <x:v>Point_A01_W02_Sword_Starter</x:v>
      </x:c>
      <x:c r="M6" s="80" t="n">
        <x:v>0</x:v>
      </x:c>
      <x:c r="N6" s="80" t="n">
        <x:v>1.7</x:v>
      </x:c>
      <x:c r="O6" s="59" t="str">
        <x:v>ENEMY_SWORDSMAN</x:v>
      </x:c>
      <x:c r="P6" s="79" t="n">
        <x:v>1</x:v>
      </x:c>
      <x:c r="Q6" s="81" t="str">
        <x:f>IFERROR(IF(VLOOKUP(O6,'敌人类型映射'!$A$6:$H$20,5,FALSE)="","",VLOOKUP(O6,'敌人类型映射'!$A$6:$H$20,5,FALSE)),"")</x:f>
      </x:c>
      <x:c r="R6" s="81" t="str">
        <x:f>IFERROR(VLOOKUP(O6,'敌人类型映射'!$A$6:$H$20,6,FALSE),"类型未登记")</x:f>
        <x:v>待接入</x:v>
      </x:c>
      <x:c r="S6" s="82" t="str">
        <x:v>正面起手</x:v>
      </x:c>
      <x:c r="T6" s="82" t="n">
        <x:v>1</x:v>
      </x:c>
      <x:c r="U6" s="82" t="str">
        <x:v>提供清晰攻击，启动三连斩</x:v>
      </x:c>
      <x:c r="V6" s="82" t="str">
        <x:v>待摆放</x:v>
      </x:c>
    </x:row>
    <x:row r="7">
      <x:c r="A7" s="59" t="str">
        <x:v>是</x:v>
      </x:c>
      <x:c r="B7" s="59" t="str">
        <x:v>Assets/Scenes/Level_LD.unity</x:v>
      </x:c>
      <x:c r="C7" s="59" t="str">
        <x:v>A01</x:v>
      </x:c>
      <x:c r="D7" s="59" t="str">
        <x:v>雪峰古道·教学段</x:v>
      </x:c>
      <x:c r="E7" s="59" t="str">
        <x:v>Root_Arena_01</x:v>
      </x:c>
      <x:c r="F7" s="59" t="str">
        <x:v>Group_WaveSpawner</x:v>
      </x:c>
      <x:c r="G7" s="59" t="str">
        <x:v>Group_SpawnPoints</x:v>
      </x:c>
      <x:c r="H7" s="79" t="n">
        <x:v>2</x:v>
      </x:c>
      <x:c r="I7" s="59" t="str">
        <x:v>ThreeKillChain</x:v>
      </x:c>
      <x:c r="J7" s="80" t="n">
        <x:v>0.5</x:v>
      </x:c>
      <x:c r="K7" s="79" t="n">
        <x:v>1</x:v>
      </x:c>
      <x:c r="L7" s="59" t="str">
        <x:v>Point_A01_W02_Sword_Left</x:v>
      </x:c>
      <x:c r="M7" s="80" t="n">
        <x:v>-2.6</x:v>
      </x:c>
      <x:c r="N7" s="80" t="n">
        <x:v>2.8</x:v>
      </x:c>
      <x:c r="O7" s="59" t="str">
        <x:v>ENEMY_SWORDSMAN</x:v>
      </x:c>
      <x:c r="P7" s="79" t="n">
        <x:v>1</x:v>
      </x:c>
      <x:c r="Q7" s="81" t="str">
        <x:f>IFERROR(IF(VLOOKUP(O7,'敌人类型映射'!$A$6:$H$20,5,FALSE)="","",VLOOKUP(O7,'敌人类型映射'!$A$6:$H$20,5,FALSE)),"")</x:f>
      </x:c>
      <x:c r="R7" s="81" t="str">
        <x:f>IFERROR(VLOOKUP(O7,'敌人类型映射'!$A$6:$H$20,6,FALSE),"类型未登记")</x:f>
        <x:v>待接入</x:v>
      </x:c>
      <x:c r="S7" s="82" t="str">
        <x:v>左侧连斩点</x:v>
      </x:c>
      <x:c r="T7" s="82" t="n">
        <x:v>2</x:v>
      </x:c>
      <x:c r="U7" s="82" t="str">
        <x:v>与起手敌人距离小于5单位</x:v>
      </x:c>
      <x:c r="V7" s="82" t="str">
        <x:v>待摆放</x:v>
      </x:c>
    </x:row>
    <x:row r="8">
      <x:c r="A8" s="59" t="str">
        <x:v>是</x:v>
      </x:c>
      <x:c r="B8" s="59" t="str">
        <x:v>Assets/Scenes/Level_LD.unity</x:v>
      </x:c>
      <x:c r="C8" s="59" t="str">
        <x:v>A01</x:v>
      </x:c>
      <x:c r="D8" s="59" t="str">
        <x:v>雪峰古道·教学段</x:v>
      </x:c>
      <x:c r="E8" s="59" t="str">
        <x:v>Root_Arena_01</x:v>
      </x:c>
      <x:c r="F8" s="59" t="str">
        <x:v>Group_WaveSpawner</x:v>
      </x:c>
      <x:c r="G8" s="59" t="str">
        <x:v>Group_SpawnPoints</x:v>
      </x:c>
      <x:c r="H8" s="79" t="n">
        <x:v>2</x:v>
      </x:c>
      <x:c r="I8" s="59" t="str">
        <x:v>ThreeKillChain</x:v>
      </x:c>
      <x:c r="J8" s="80" t="n">
        <x:v>0.5</x:v>
      </x:c>
      <x:c r="K8" s="79" t="n">
        <x:v>1</x:v>
      </x:c>
      <x:c r="L8" s="59" t="str">
        <x:v>Point_A01_W02_Sword_Right</x:v>
      </x:c>
      <x:c r="M8" s="80" t="n">
        <x:v>2.6</x:v>
      </x:c>
      <x:c r="N8" s="80" t="n">
        <x:v>2.8</x:v>
      </x:c>
      <x:c r="O8" s="59" t="str">
        <x:v>ENEMY_SWORDSMAN</x:v>
      </x:c>
      <x:c r="P8" s="79" t="n">
        <x:v>1</x:v>
      </x:c>
      <x:c r="Q8" s="81" t="str">
        <x:f>IFERROR(IF(VLOOKUP(O8,'敌人类型映射'!$A$6:$H$20,5,FALSE)="","",VLOOKUP(O8,'敌人类型映射'!$A$6:$H$20,5,FALSE)),"")</x:f>
      </x:c>
      <x:c r="R8" s="81" t="str">
        <x:f>IFERROR(VLOOKUP(O8,'敌人类型映射'!$A$6:$H$20,6,FALSE),"类型未登记")</x:f>
        <x:v>待接入</x:v>
      </x:c>
      <x:c r="S8" s="82" t="str">
        <x:v>右侧连斩点</x:v>
      </x:c>
      <x:c r="T8" s="82" t="n">
        <x:v>3</x:v>
      </x:c>
      <x:c r="U8" s="82" t="str">
        <x:v>形成左右选择，但两侧仍可连续衔接</x:v>
      </x:c>
      <x:c r="V8" s="82" t="str">
        <x:v>待摆放</x:v>
      </x:c>
    </x:row>
    <x:row r="9">
      <x:c r="A9" s="59" t="str">
        <x:v>是</x:v>
      </x:c>
      <x:c r="B9" s="59" t="str">
        <x:v>Assets/Scenes/Level_LD.unity</x:v>
      </x:c>
      <x:c r="C9" s="59" t="str">
        <x:v>A02</x:v>
      </x:c>
      <x:c r="D9" s="59" t="str">
        <x:v>山寨·山间小屋</x:v>
      </x:c>
      <x:c r="E9" s="59" t="str">
        <x:v>Root_Arena_02</x:v>
      </x:c>
      <x:c r="F9" s="59" t="str">
        <x:v>Group_WaveSpawner</x:v>
      </x:c>
      <x:c r="G9" s="59" t="str">
        <x:v>Group_SpawnPoints</x:v>
      </x:c>
      <x:c r="H9" s="79" t="n">
        <x:v>1</x:v>
      </x:c>
      <x:c r="I9" s="59" t="str">
        <x:v>TargetPriority</x:v>
      </x:c>
      <x:c r="J9" s="80" t="n">
        <x:v>0.5</x:v>
      </x:c>
      <x:c r="K9" s="79" t="n">
        <x:v>1</x:v>
      </x:c>
      <x:c r="L9" s="59" t="str">
        <x:v>Point_A02_W01_Sword_Starter</x:v>
      </x:c>
      <x:c r="M9" s="80" t="n">
        <x:v>0</x:v>
      </x:c>
      <x:c r="N9" s="80" t="n">
        <x:v>1.4</x:v>
      </x:c>
      <x:c r="O9" s="59" t="str">
        <x:v>ENEMY_SWORDSMAN</x:v>
      </x:c>
      <x:c r="P9" s="79" t="n">
        <x:v>1</x:v>
      </x:c>
      <x:c r="Q9" s="81" t="str">
        <x:f>IFERROR(IF(VLOOKUP(O9,'敌人类型映射'!$A$6:$H$20,5,FALSE)="","",VLOOKUP(O9,'敌人类型映射'!$A$6:$H$20,5,FALSE)),"")</x:f>
      </x:c>
      <x:c r="R9" s="81" t="str">
        <x:f>IFERROR(VLOOKUP(O9,'敌人类型映射'!$A$6:$H$20,6,FALSE),"类型未登记")</x:f>
        <x:v>待接入</x:v>
      </x:c>
      <x:c r="S9" s="82" t="str">
        <x:v>正面起手</x:v>
      </x:c>
      <x:c r="T9" s="82" t="n">
        <x:v>1</x:v>
      </x:c>
      <x:c r="U9" s="82" t="str">
        <x:v>给玩家稳定完美闪避入口</x:v>
      </x:c>
      <x:c r="V9" s="82" t="str">
        <x:v>待摆放</x:v>
      </x:c>
    </x:row>
    <x:row r="10">
      <x:c r="A10" s="59" t="str">
        <x:v>是</x:v>
      </x:c>
      <x:c r="B10" s="59" t="str">
        <x:v>Assets/Scenes/Level_LD.unity</x:v>
      </x:c>
      <x:c r="C10" s="59" t="str">
        <x:v>A02</x:v>
      </x:c>
      <x:c r="D10" s="59" t="str">
        <x:v>山寨·山间小屋</x:v>
      </x:c>
      <x:c r="E10" s="59" t="str">
        <x:v>Root_Arena_02</x:v>
      </x:c>
      <x:c r="F10" s="59" t="str">
        <x:v>Group_WaveSpawner</x:v>
      </x:c>
      <x:c r="G10" s="59" t="str">
        <x:v>Group_SpawnPoints</x:v>
      </x:c>
      <x:c r="H10" s="79" t="n">
        <x:v>1</x:v>
      </x:c>
      <x:c r="I10" s="59" t="str">
        <x:v>TargetPriority</x:v>
      </x:c>
      <x:c r="J10" s="80" t="n">
        <x:v>0.5</x:v>
      </x:c>
      <x:c r="K10" s="79" t="n">
        <x:v>2</x:v>
      </x:c>
      <x:c r="L10" s="59" t="str">
        <x:v>Point_A02_W01_Archer_RearLeft</x:v>
      </x:c>
      <x:c r="M10" s="80" t="n">
        <x:v>-2.2</x:v>
      </x:c>
      <x:c r="N10" s="80" t="n">
        <x:v>3</x:v>
      </x:c>
      <x:c r="O10" s="59" t="str">
        <x:v>ENEMY_ARCHER</x:v>
      </x:c>
      <x:c r="P10" s="79" t="n">
        <x:v>1</x:v>
      </x:c>
      <x:c r="Q10" s="81" t="str">
        <x:f>IFERROR(IF(VLOOKUP(O10,'敌人类型映射'!$A$6:$H$20,5,FALSE)="","",VLOOKUP(O10,'敌人类型映射'!$A$6:$H$20,5,FALSE)),"")</x:f>
      </x:c>
      <x:c r="R10" s="81" t="str">
        <x:f>IFERROR(VLOOKUP(O10,'敌人类型映射'!$A$6:$H$20,6,FALSE),"类型未登记")</x:f>
        <x:v>待接入</x:v>
      </x:c>
      <x:c r="S10" s="82" t="str">
        <x:v>左后排</x:v>
      </x:c>
      <x:c r="T10" s="82" t="n">
        <x:v>2</x:v>
      </x:c>
      <x:c r="U10" s="82" t="str">
        <x:v>优先切后排，学习选择连斩目标</x:v>
      </x:c>
      <x:c r="V10" s="82" t="str">
        <x:v>待摆放</x:v>
      </x:c>
    </x:row>
    <x:row r="11">
      <x:c r="A11" s="59" t="str">
        <x:v>是</x:v>
      </x:c>
      <x:c r="B11" s="59" t="str">
        <x:v>Assets/Scenes/Level_LD.unity</x:v>
      </x:c>
      <x:c r="C11" s="59" t="str">
        <x:v>A02</x:v>
      </x:c>
      <x:c r="D11" s="59" t="str">
        <x:v>山寨·山间小屋</x:v>
      </x:c>
      <x:c r="E11" s="59" t="str">
        <x:v>Root_Arena_02</x:v>
      </x:c>
      <x:c r="F11" s="59" t="str">
        <x:v>Group_WaveSpawner</x:v>
      </x:c>
      <x:c r="G11" s="59" t="str">
        <x:v>Group_SpawnPoints</x:v>
      </x:c>
      <x:c r="H11" s="79" t="n">
        <x:v>1</x:v>
      </x:c>
      <x:c r="I11" s="59" t="str">
        <x:v>TargetPriority</x:v>
      </x:c>
      <x:c r="J11" s="80" t="n">
        <x:v>0.5</x:v>
      </x:c>
      <x:c r="K11" s="79" t="n">
        <x:v>3</x:v>
      </x:c>
      <x:c r="L11" s="59" t="str">
        <x:v>Point_A02_W01_FastArcher_Right</x:v>
      </x:c>
      <x:c r="M11" s="80" t="n">
        <x:v>2.2</x:v>
      </x:c>
      <x:c r="N11" s="80" t="n">
        <x:v>2.6</x:v>
      </x:c>
      <x:c r="O11" s="59" t="str">
        <x:v>ENEMY_ARCHER_FAST</x:v>
      </x:c>
      <x:c r="P11" s="79" t="n">
        <x:v>1</x:v>
      </x:c>
      <x:c r="Q11" s="81" t="str">
        <x:f>IFERROR(IF(VLOOKUP(O11,'敌人类型映射'!$A$6:$H$20,5,FALSE)="","",VLOOKUP(O11,'敌人类型映射'!$A$6:$H$20,5,FALSE)),"")</x:f>
      </x:c>
      <x:c r="R11" s="81" t="str">
        <x:f>IFERROR(VLOOKUP(O11,'敌人类型映射'!$A$6:$H$20,6,FALSE),"类型未登记")</x:f>
        <x:v>待接入</x:v>
      </x:c>
      <x:c r="S11" s="82" t="str">
        <x:v>右侧压力</x:v>
      </x:c>
      <x:c r="T11" s="82" t="n">
        <x:v>3</x:v>
      </x:c>
      <x:c r="U11" s="82" t="str">
        <x:v>制造方向切换；与左后排距离保持在5单位内</x:v>
      </x:c>
      <x:c r="V11" s="82" t="str">
        <x:v>待摆放</x:v>
      </x:c>
    </x:row>
    <x:row r="12">
      <x:c r="A12" s="59" t="str">
        <x:v>是</x:v>
      </x:c>
      <x:c r="B12" s="59" t="str">
        <x:v>Assets/Scenes/Level_LD.unity</x:v>
      </x:c>
      <x:c r="C12" s="59" t="str">
        <x:v>A03</x:v>
      </x:c>
      <x:c r="D12" s="59" t="str">
        <x:v>雪寺山门</x:v>
      </x:c>
      <x:c r="E12" s="59" t="str">
        <x:v>Root_Arena_03</x:v>
      </x:c>
      <x:c r="F12" s="59" t="str">
        <x:v>Group_WaveSpawner</x:v>
      </x:c>
      <x:c r="G12" s="59" t="str">
        <x:v>Group_SpawnPoints</x:v>
      </x:c>
      <x:c r="H12" s="79" t="n">
        <x:v>1</x:v>
      </x:c>
      <x:c r="I12" s="59" t="str">
        <x:v>ShieldFlank</x:v>
      </x:c>
      <x:c r="J12" s="80" t="n">
        <x:v>0.6</x:v>
      </x:c>
      <x:c r="K12" s="79" t="n">
        <x:v>1</x:v>
      </x:c>
      <x:c r="L12" s="59" t="str">
        <x:v>Point_A03_W01_Sword_Starter</x:v>
      </x:c>
      <x:c r="M12" s="80" t="n">
        <x:v>0</x:v>
      </x:c>
      <x:c r="N12" s="80" t="n">
        <x:v>1.5</x:v>
      </x:c>
      <x:c r="O12" s="59" t="str">
        <x:v>ENEMY_SWORDSMAN</x:v>
      </x:c>
      <x:c r="P12" s="79" t="n">
        <x:v>1</x:v>
      </x:c>
      <x:c r="Q12" s="81" t="str">
        <x:f>IFERROR(IF(VLOOKUP(O12,'敌人类型映射'!$A$6:$H$20,5,FALSE)="","",VLOOKUP(O12,'敌人类型映射'!$A$6:$H$20,5,FALSE)),"")</x:f>
      </x:c>
      <x:c r="R12" s="81" t="str">
        <x:f>IFERROR(VLOOKUP(O12,'敌人类型映射'!$A$6:$H$20,6,FALSE),"类型未登记")</x:f>
        <x:v>待接入</x:v>
      </x:c>
      <x:c r="S12" s="82" t="str">
        <x:v>正面起手</x:v>
      </x:c>
      <x:c r="T12" s="82" t="n">
        <x:v>1</x:v>
      </x:c>
      <x:c r="U12" s="82" t="str">
        <x:v>启动连斩并吸引玩家进入阵型</x:v>
      </x:c>
      <x:c r="V12" s="82" t="str">
        <x:v>待摆放</x:v>
      </x:c>
    </x:row>
    <x:row r="13">
      <x:c r="A13" s="59" t="str">
        <x:v>是</x:v>
      </x:c>
      <x:c r="B13" s="59" t="str">
        <x:v>Assets/Scenes/Level_LD.unity</x:v>
      </x:c>
      <x:c r="C13" s="59" t="str">
        <x:v>A03</x:v>
      </x:c>
      <x:c r="D13" s="59" t="str">
        <x:v>雪寺山门</x:v>
      </x:c>
      <x:c r="E13" s="59" t="str">
        <x:v>Root_Arena_03</x:v>
      </x:c>
      <x:c r="F13" s="59" t="str">
        <x:v>Group_WaveSpawner</x:v>
      </x:c>
      <x:c r="G13" s="59" t="str">
        <x:v>Group_SpawnPoints</x:v>
      </x:c>
      <x:c r="H13" s="79" t="n">
        <x:v>1</x:v>
      </x:c>
      <x:c r="I13" s="59" t="str">
        <x:v>ShieldFlank</x:v>
      </x:c>
      <x:c r="J13" s="80" t="n">
        <x:v>0.6</x:v>
      </x:c>
      <x:c r="K13" s="79" t="n">
        <x:v>2</x:v>
      </x:c>
      <x:c r="L13" s="59" t="str">
        <x:v>Point_A03_W01_Archer_RearLeft</x:v>
      </x:c>
      <x:c r="M13" s="80" t="n">
        <x:v>-2</x:v>
      </x:c>
      <x:c r="N13" s="80" t="n">
        <x:v>2.8</x:v>
      </x:c>
      <x:c r="O13" s="59" t="str">
        <x:v>ENEMY_ARCHER</x:v>
      </x:c>
      <x:c r="P13" s="79" t="n">
        <x:v>1</x:v>
      </x:c>
      <x:c r="Q13" s="81" t="str">
        <x:f>IFERROR(IF(VLOOKUP(O13,'敌人类型映射'!$A$6:$H$20,5,FALSE)="","",VLOOKUP(O13,'敌人类型映射'!$A$6:$H$20,5,FALSE)),"")</x:f>
      </x:c>
      <x:c r="R13" s="81" t="str">
        <x:f>IFERROR(VLOOKUP(O13,'敌人类型映射'!$A$6:$H$20,6,FALSE),"类型未登记")</x:f>
        <x:v>待接入</x:v>
      </x:c>
      <x:c r="S13" s="82" t="str">
        <x:v>左后排</x:v>
      </x:c>
      <x:c r="T13" s="82" t="n">
        <x:v>2</x:v>
      </x:c>
      <x:c r="U13" s="82" t="str">
        <x:v>诱导先处理远程，再从侧后方接盾兵</x:v>
      </x:c>
      <x:c r="V13" s="82" t="str">
        <x:v>待摆放</x:v>
      </x:c>
    </x:row>
    <x:row r="14">
      <x:c r="A14" s="59" t="str">
        <x:v>是</x:v>
      </x:c>
      <x:c r="B14" s="59" t="str">
        <x:v>Assets/Scenes/Level_LD.unity</x:v>
      </x:c>
      <x:c r="C14" s="59" t="str">
        <x:v>A03</x:v>
      </x:c>
      <x:c r="D14" s="59" t="str">
        <x:v>雪寺山门</x:v>
      </x:c>
      <x:c r="E14" s="59" t="str">
        <x:v>Root_Arena_03</x:v>
      </x:c>
      <x:c r="F14" s="59" t="str">
        <x:v>Group_WaveSpawner</x:v>
      </x:c>
      <x:c r="G14" s="59" t="str">
        <x:v>Group_SpawnPoints</x:v>
      </x:c>
      <x:c r="H14" s="79" t="n">
        <x:v>1</x:v>
      </x:c>
      <x:c r="I14" s="59" t="str">
        <x:v>ShieldFlank</x:v>
      </x:c>
      <x:c r="J14" s="80" t="n">
        <x:v>0.6</x:v>
      </x:c>
      <x:c r="K14" s="79" t="n">
        <x:v>3</x:v>
      </x:c>
      <x:c r="L14" s="59" t="str">
        <x:v>Point_A03_W01_Shield_Right</x:v>
      </x:c>
      <x:c r="M14" s="80" t="n">
        <x:v>2.3</x:v>
      </x:c>
      <x:c r="N14" s="80" t="n">
        <x:v>2.6</x:v>
      </x:c>
      <x:c r="O14" s="59" t="str">
        <x:v>ENEMY_SHIELD</x:v>
      </x:c>
      <x:c r="P14" s="79" t="n">
        <x:v>1</x:v>
      </x:c>
      <x:c r="Q14" s="81" t="str">
        <x:f>IFERROR(IF(VLOOKUP(O14,'敌人类型映射'!$A$6:$H$20,5,FALSE)="","",VLOOKUP(O14,'敌人类型映射'!$A$6:$H$20,5,FALSE)),"")</x:f>
        <x:v>Assets/Prefabs/Characters/Prefab_ShieldWarriorAnimated.prefab</x:v>
      </x:c>
      <x:c r="R14" s="81" t="str">
        <x:f>IFERROR(VLOOKUP(O14,'敌人类型映射'!$A$6:$H$20,6,FALSE),"类型未登记")</x:f>
        <x:v>临时占位</x:v>
      </x:c>
      <x:c r="S14" s="82" t="str">
        <x:v>右侧盾兵</x:v>
      </x:c>
      <x:c r="T14" s="82" t="n">
        <x:v>3</x:v>
      </x:c>
      <x:c r="U14" s="82" t="str">
        <x:v>验证绕背和连斩顺序；避免正面硬撞盾牌</x:v>
      </x:c>
      <x:c r="V14" s="82" t="str">
        <x:v>待摆放</x:v>
      </x:c>
    </x:row>
    <x:row r="15">
      <x:c r="A15" s="60" t="str">
        <x:v>否</x:v>
      </x:c>
      <x:c r="B15" s="60" t="str">
        <x:v>Assets/Scenes/Level_LD.unity</x:v>
      </x:c>
      <x:c r="C15" s="60" t="str">
        <x:v>A04</x:v>
      </x:c>
      <x:c r="D15" s="60" t="str">
        <x:v>主殿决战庭院</x:v>
      </x:c>
      <x:c r="E15" s="60" t="str">
        <x:v>Root_Arena_04</x:v>
      </x:c>
      <x:c r="F15" s="60" t="str">
        <x:v>Group_WaveSpawner</x:v>
      </x:c>
      <x:c r="G15" s="60" t="str">
        <x:v>Group_SpawnPoints</x:v>
      </x:c>
      <x:c r="H15" s="83" t="n">
        <x:v>1</x:v>
      </x:c>
      <x:c r="I15" s="60" t="str">
        <x:v>ElitePlaceholder</x:v>
      </x:c>
      <x:c r="J15" s="84" t="n">
        <x:v>0.8</x:v>
      </x:c>
      <x:c r="K15" s="83" t="n">
        <x:v>1</x:v>
      </x:c>
      <x:c r="L15" s="60" t="str">
        <x:v>Point_A04_W01_Elite_Center</x:v>
      </x:c>
      <x:c r="M15" s="84" t="n">
        <x:v>0</x:v>
      </x:c>
      <x:c r="N15" s="84" t="n">
        <x:v>1.8</x:v>
      </x:c>
      <x:c r="O15" s="60" t="str">
        <x:v>ELITE_SNOW_TEMPLE</x:v>
      </x:c>
      <x:c r="P15" s="83" t="n">
        <x:v>1</x:v>
      </x:c>
      <x:c r="Q15" s="85" t="str">
        <x:f>IFERROR(IF(VLOOKUP(O15,'敌人类型映射'!$A$6:$H$20,5,FALSE)="","",VLOOKUP(O15,'敌人类型映射'!$A$6:$H$20,5,FALSE)),"")</x:f>
      </x:c>
      <x:c r="R15" s="85" t="str">
        <x:f>IFERROR(VLOOKUP(O15,'敌人类型映射'!$A$6:$H$20,6,FALSE),"类型未登记")</x:f>
        <x:v>未开发</x:v>
      </x:c>
      <x:c r="S15" s="86" t="str">
        <x:v>庭院中心</x:v>
      </x:c>
      <x:c r="T15" s="86"/>
      <x:c r="U15" s="86" t="str">
        <x:v>仅保留三次破甲精英出生点；逻辑完成前不启用</x:v>
      </x:c>
      <x:c r="V15" s="86" t="str">
        <x:v>程序阻塞</x:v>
      </x:c>
    </x:row>
    <x:row r="16">
      <x:c r="A16" s="39"/>
      <x:c r="B16" s="39"/>
      <x:c r="C16" s="39"/>
      <x:c r="D16" s="39"/>
      <x:c r="E16" s="39"/>
      <x:c r="F16" s="39"/>
      <x:c r="G16" s="39"/>
      <x:c r="H16" s="87"/>
      <x:c r="I16" s="39"/>
      <x:c r="J16" s="88"/>
      <x:c r="K16" s="87"/>
      <x:c r="L16" s="39"/>
      <x:c r="M16" s="88"/>
      <x:c r="N16" s="88"/>
      <x:c r="O16" s="39"/>
      <x:c r="P16" s="87"/>
      <x:c r="Q16" s="39"/>
      <x:c r="R16" s="39"/>
      <x:c r="S16" s="39"/>
      <x:c r="T16" s="39"/>
      <x:c r="U16" s="39"/>
      <x:c r="V16" s="39"/>
    </x:row>
    <x:row r="17">
      <x:c r="A17" s="39"/>
      <x:c r="B17" s="39"/>
      <x:c r="C17" s="39"/>
      <x:c r="D17" s="39"/>
      <x:c r="E17" s="39"/>
      <x:c r="F17" s="39"/>
      <x:c r="G17" s="39"/>
      <x:c r="H17" s="87"/>
      <x:c r="I17" s="39"/>
      <x:c r="J17" s="88"/>
      <x:c r="K17" s="87"/>
      <x:c r="L17" s="39"/>
      <x:c r="M17" s="88"/>
      <x:c r="N17" s="88"/>
      <x:c r="O17" s="39"/>
      <x:c r="P17" s="87"/>
      <x:c r="Q17" s="39"/>
      <x:c r="R17" s="39"/>
      <x:c r="S17" s="39"/>
      <x:c r="T17" s="39"/>
      <x:c r="U17" s="39"/>
      <x:c r="V17" s="39"/>
    </x:row>
    <x:row r="18">
      <x:c r="A18" s="39"/>
      <x:c r="B18" s="39"/>
      <x:c r="C18" s="39"/>
      <x:c r="D18" s="39"/>
      <x:c r="E18" s="39"/>
      <x:c r="F18" s="39"/>
      <x:c r="G18" s="39"/>
      <x:c r="H18" s="87"/>
      <x:c r="I18" s="39"/>
      <x:c r="J18" s="88"/>
      <x:c r="K18" s="87"/>
      <x:c r="L18" s="39"/>
      <x:c r="M18" s="88"/>
      <x:c r="N18" s="88"/>
      <x:c r="O18" s="39"/>
      <x:c r="P18" s="87"/>
      <x:c r="Q18" s="39"/>
      <x:c r="R18" s="39"/>
      <x:c r="S18" s="39"/>
      <x:c r="T18" s="39"/>
      <x:c r="U18" s="39"/>
      <x:c r="V18" s="39"/>
    </x:row>
    <x:row r="19">
      <x:c r="A19" s="39"/>
      <x:c r="B19" s="39"/>
      <x:c r="C19" s="39"/>
      <x:c r="D19" s="39"/>
      <x:c r="E19" s="39"/>
      <x:c r="F19" s="39"/>
      <x:c r="G19" s="39"/>
      <x:c r="H19" s="87"/>
      <x:c r="I19" s="39"/>
      <x:c r="J19" s="88"/>
      <x:c r="K19" s="87"/>
      <x:c r="L19" s="39"/>
      <x:c r="M19" s="88"/>
      <x:c r="N19" s="88"/>
      <x:c r="O19" s="39"/>
      <x:c r="P19" s="87"/>
      <x:c r="Q19" s="39"/>
      <x:c r="R19" s="39"/>
      <x:c r="S19" s="39"/>
      <x:c r="T19" s="39"/>
      <x:c r="U19" s="39"/>
      <x:c r="V19" s="39"/>
    </x:row>
    <x:row r="20">
      <x:c r="A20" s="39"/>
      <x:c r="B20" s="39"/>
      <x:c r="C20" s="39"/>
      <x:c r="D20" s="39"/>
      <x:c r="E20" s="39"/>
      <x:c r="F20" s="39"/>
      <x:c r="G20" s="39"/>
      <x:c r="H20" s="87"/>
      <x:c r="I20" s="39"/>
      <x:c r="J20" s="88"/>
      <x:c r="K20" s="87"/>
      <x:c r="L20" s="39"/>
      <x:c r="M20" s="88"/>
      <x:c r="N20" s="88"/>
      <x:c r="O20" s="39"/>
      <x:c r="P20" s="87"/>
      <x:c r="Q20" s="39"/>
      <x:c r="R20" s="39"/>
      <x:c r="S20" s="39"/>
      <x:c r="T20" s="39"/>
      <x:c r="U20" s="39"/>
      <x:c r="V20" s="39"/>
    </x:row>
    <x:row r="21">
      <x:c r="H21" s="70"/>
      <x:c r="J21" s="74"/>
      <x:c r="K21" s="70"/>
      <x:c r="M21" s="74"/>
      <x:c r="N21" s="74"/>
      <x:c r="P21" s="70"/>
    </x:row>
    <x:row r="22">
      <x:c r="H22" s="70"/>
      <x:c r="J22" s="74"/>
      <x:c r="K22" s="70"/>
      <x:c r="M22" s="74"/>
      <x:c r="N22" s="74"/>
      <x:c r="P22" s="70"/>
    </x:row>
    <x:row r="23">
      <x:c r="H23" s="70"/>
      <x:c r="J23" s="74"/>
      <x:c r="K23" s="70"/>
      <x:c r="M23" s="74"/>
      <x:c r="N23" s="74"/>
      <x:c r="P23" s="70"/>
    </x:row>
    <x:row r="24">
      <x:c r="H24" s="70"/>
      <x:c r="J24" s="74"/>
      <x:c r="K24" s="70"/>
      <x:c r="M24" s="74"/>
      <x:c r="N24" s="74"/>
      <x:c r="P24" s="70"/>
    </x:row>
    <x:row r="25">
      <x:c r="H25" s="70"/>
      <x:c r="J25" s="74"/>
      <x:c r="K25" s="70"/>
      <x:c r="M25" s="74"/>
      <x:c r="N25" s="74"/>
      <x:c r="P25" s="70"/>
    </x:row>
    <x:row r="26">
      <x:c r="H26" s="70"/>
      <x:c r="J26" s="74"/>
      <x:c r="K26" s="70"/>
      <x:c r="M26" s="74"/>
      <x:c r="N26" s="74"/>
      <x:c r="P26" s="70"/>
    </x:row>
    <x:row r="27">
      <x:c r="H27" s="70"/>
      <x:c r="J27" s="74"/>
      <x:c r="K27" s="70"/>
      <x:c r="M27" s="74"/>
      <x:c r="N27" s="74"/>
      <x:c r="P27" s="70"/>
    </x:row>
    <x:row r="28">
      <x:c r="H28" s="70"/>
      <x:c r="J28" s="74"/>
      <x:c r="K28" s="70"/>
      <x:c r="M28" s="74"/>
      <x:c r="N28" s="74"/>
      <x:c r="P28" s="70"/>
    </x:row>
    <x:row r="29">
      <x:c r="H29" s="70"/>
      <x:c r="J29" s="74"/>
      <x:c r="K29" s="70"/>
      <x:c r="M29" s="74"/>
      <x:c r="N29" s="74"/>
      <x:c r="P29" s="70"/>
    </x:row>
    <x:row r="30">
      <x:c r="H30" s="70"/>
      <x:c r="J30" s="74"/>
      <x:c r="K30" s="70"/>
      <x:c r="M30" s="74"/>
      <x:c r="N30" s="74"/>
      <x:c r="P30" s="70"/>
    </x:row>
    <x:row r="31">
      <x:c r="H31" s="70"/>
      <x:c r="J31" s="74"/>
      <x:c r="K31" s="70"/>
      <x:c r="M31" s="74"/>
      <x:c r="N31" s="74"/>
      <x:c r="P31" s="70"/>
    </x:row>
    <x:row r="32">
      <x:c r="H32" s="70"/>
      <x:c r="J32" s="74"/>
      <x:c r="K32" s="70"/>
      <x:c r="M32" s="74"/>
      <x:c r="N32" s="74"/>
      <x:c r="P32" s="70"/>
    </x:row>
    <x:row r="33">
      <x:c r="H33" s="70"/>
      <x:c r="J33" s="74"/>
      <x:c r="K33" s="70"/>
      <x:c r="M33" s="74"/>
      <x:c r="N33" s="74"/>
      <x:c r="P33" s="70"/>
    </x:row>
    <x:row r="34">
      <x:c r="H34" s="70"/>
      <x:c r="J34" s="74"/>
      <x:c r="K34" s="70"/>
      <x:c r="M34" s="74"/>
      <x:c r="N34" s="74"/>
      <x:c r="P34" s="70"/>
    </x:row>
    <x:row r="35">
      <x:c r="H35" s="70"/>
      <x:c r="J35" s="74"/>
      <x:c r="K35" s="70"/>
      <x:c r="M35" s="74"/>
      <x:c r="N35" s="74"/>
      <x:c r="P35" s="70"/>
    </x:row>
    <x:row r="36">
      <x:c r="H36" s="70"/>
      <x:c r="J36" s="74"/>
      <x:c r="K36" s="70"/>
      <x:c r="M36" s="74"/>
      <x:c r="N36" s="74"/>
      <x:c r="P36" s="70"/>
    </x:row>
    <x:row r="37">
      <x:c r="H37" s="70"/>
      <x:c r="J37" s="74"/>
      <x:c r="K37" s="70"/>
      <x:c r="M37" s="74"/>
      <x:c r="N37" s="74"/>
      <x:c r="P37" s="70"/>
    </x:row>
    <x:row r="38">
      <x:c r="H38" s="70"/>
      <x:c r="J38" s="74"/>
      <x:c r="K38" s="70"/>
      <x:c r="M38" s="74"/>
      <x:c r="N38" s="74"/>
      <x:c r="P38" s="70"/>
    </x:row>
    <x:row r="39">
      <x:c r="H39" s="70"/>
      <x:c r="J39" s="74"/>
      <x:c r="K39" s="70"/>
      <x:c r="M39" s="74"/>
      <x:c r="N39" s="74"/>
      <x:c r="P39" s="70"/>
    </x:row>
    <x:row r="40">
      <x:c r="H40" s="70"/>
      <x:c r="J40" s="74"/>
      <x:c r="K40" s="70"/>
      <x:c r="M40" s="74"/>
      <x:c r="N40" s="74"/>
      <x:c r="P40" s="70"/>
    </x:row>
    <x:row r="41">
      <x:c r="H41" s="70"/>
      <x:c r="J41" s="74"/>
      <x:c r="K41" s="70"/>
      <x:c r="M41" s="74"/>
      <x:c r="N41" s="74"/>
      <x:c r="P41" s="70"/>
    </x:row>
    <x:row r="42">
      <x:c r="H42" s="70"/>
      <x:c r="J42" s="74"/>
      <x:c r="K42" s="70"/>
      <x:c r="M42" s="74"/>
      <x:c r="N42" s="74"/>
      <x:c r="P42" s="70"/>
    </x:row>
    <x:row r="43">
      <x:c r="H43" s="70"/>
      <x:c r="J43" s="74"/>
      <x:c r="K43" s="70"/>
      <x:c r="M43" s="74"/>
      <x:c r="N43" s="74"/>
      <x:c r="P43" s="70"/>
    </x:row>
    <x:row r="44">
      <x:c r="H44" s="70"/>
      <x:c r="J44" s="74"/>
      <x:c r="K44" s="70"/>
      <x:c r="M44" s="74"/>
      <x:c r="N44" s="74"/>
      <x:c r="P44" s="70"/>
    </x:row>
    <x:row r="45">
      <x:c r="H45" s="70"/>
      <x:c r="J45" s="74"/>
      <x:c r="K45" s="70"/>
      <x:c r="M45" s="74"/>
      <x:c r="N45" s="74"/>
      <x:c r="P45" s="70"/>
    </x:row>
    <x:row r="46">
      <x:c r="H46" s="70"/>
      <x:c r="J46" s="74"/>
      <x:c r="K46" s="70"/>
      <x:c r="M46" s="74"/>
      <x:c r="N46" s="74"/>
      <x:c r="P46" s="70"/>
    </x:row>
    <x:row r="47">
      <x:c r="H47" s="70"/>
      <x:c r="J47" s="74"/>
      <x:c r="K47" s="70"/>
      <x:c r="M47" s="74"/>
      <x:c r="N47" s="74"/>
      <x:c r="P47" s="70"/>
    </x:row>
    <x:row r="48">
      <x:c r="H48" s="70"/>
      <x:c r="J48" s="74"/>
      <x:c r="K48" s="70"/>
      <x:c r="M48" s="74"/>
      <x:c r="N48" s="74"/>
      <x:c r="P48" s="70"/>
    </x:row>
    <x:row r="49">
      <x:c r="H49" s="70"/>
      <x:c r="J49" s="74"/>
      <x:c r="K49" s="70"/>
      <x:c r="M49" s="74"/>
      <x:c r="N49" s="74"/>
      <x:c r="P49" s="70"/>
    </x:row>
    <x:row r="50">
      <x:c r="H50" s="70"/>
      <x:c r="J50" s="74"/>
      <x:c r="K50" s="70"/>
      <x:c r="M50" s="74"/>
      <x:c r="N50" s="74"/>
      <x:c r="P50" s="70"/>
    </x:row>
    <x:row r="51">
      <x:c r="H51" s="70"/>
      <x:c r="J51" s="74"/>
      <x:c r="K51" s="70"/>
      <x:c r="M51" s="74"/>
      <x:c r="N51" s="74"/>
      <x:c r="P51" s="70"/>
    </x:row>
    <x:row r="52">
      <x:c r="H52" s="70"/>
      <x:c r="J52" s="74"/>
      <x:c r="K52" s="70"/>
      <x:c r="M52" s="74"/>
      <x:c r="N52" s="74"/>
      <x:c r="P52" s="70"/>
    </x:row>
    <x:row r="53">
      <x:c r="H53" s="70"/>
      <x:c r="J53" s="74"/>
      <x:c r="K53" s="70"/>
      <x:c r="M53" s="74"/>
      <x:c r="N53" s="74"/>
      <x:c r="P53" s="70"/>
    </x:row>
    <x:row r="54">
      <x:c r="H54" s="70"/>
      <x:c r="J54" s="74"/>
      <x:c r="K54" s="70"/>
      <x:c r="M54" s="74"/>
      <x:c r="N54" s="74"/>
      <x:c r="P54" s="70"/>
    </x:row>
    <x:row r="55">
      <x:c r="H55" s="70"/>
      <x:c r="J55" s="74"/>
      <x:c r="K55" s="70"/>
      <x:c r="M55" s="74"/>
      <x:c r="N55" s="74"/>
      <x:c r="P55" s="70"/>
    </x:row>
    <x:row r="56">
      <x:c r="H56" s="70"/>
      <x:c r="J56" s="74"/>
      <x:c r="K56" s="70"/>
      <x:c r="M56" s="74"/>
      <x:c r="N56" s="74"/>
      <x:c r="P56" s="70"/>
    </x:row>
    <x:row r="57">
      <x:c r="H57" s="70"/>
      <x:c r="J57" s="74"/>
      <x:c r="K57" s="70"/>
      <x:c r="M57" s="74"/>
      <x:c r="N57" s="74"/>
      <x:c r="P57" s="70"/>
    </x:row>
    <x:row r="58">
      <x:c r="H58" s="70"/>
      <x:c r="J58" s="74"/>
      <x:c r="K58" s="70"/>
      <x:c r="M58" s="74"/>
      <x:c r="N58" s="74"/>
      <x:c r="P58" s="70"/>
    </x:row>
    <x:row r="59">
      <x:c r="H59" s="70"/>
      <x:c r="J59" s="74"/>
      <x:c r="K59" s="70"/>
      <x:c r="M59" s="74"/>
      <x:c r="N59" s="74"/>
      <x:c r="P59" s="70"/>
    </x:row>
    <x:row r="60">
      <x:c r="H60" s="70"/>
      <x:c r="J60" s="74"/>
      <x:c r="K60" s="70"/>
      <x:c r="M60" s="74"/>
      <x:c r="N60" s="74"/>
      <x:c r="P60" s="70"/>
    </x:row>
    <x:row r="61">
      <x:c r="H61" s="70"/>
      <x:c r="J61" s="74"/>
      <x:c r="K61" s="70"/>
      <x:c r="M61" s="74"/>
      <x:c r="N61" s="74"/>
      <x:c r="P61" s="70"/>
    </x:row>
    <x:row r="62">
      <x:c r="H62" s="70"/>
      <x:c r="J62" s="74"/>
      <x:c r="K62" s="70"/>
      <x:c r="M62" s="74"/>
      <x:c r="N62" s="74"/>
      <x:c r="P62" s="70"/>
    </x:row>
    <x:row r="63">
      <x:c r="H63" s="70"/>
      <x:c r="J63" s="74"/>
      <x:c r="K63" s="70"/>
      <x:c r="M63" s="74"/>
      <x:c r="N63" s="74"/>
      <x:c r="P63" s="70"/>
    </x:row>
    <x:row r="64">
      <x:c r="H64" s="70"/>
      <x:c r="J64" s="74"/>
      <x:c r="K64" s="70"/>
      <x:c r="M64" s="74"/>
      <x:c r="N64" s="74"/>
      <x:c r="P64" s="70"/>
    </x:row>
    <x:row r="65">
      <x:c r="H65" s="70"/>
      <x:c r="J65" s="74"/>
      <x:c r="K65" s="70"/>
      <x:c r="M65" s="74"/>
      <x:c r="N65" s="74"/>
      <x:c r="P65" s="70"/>
    </x:row>
    <x:row r="66">
      <x:c r="H66" s="70"/>
      <x:c r="J66" s="74"/>
      <x:c r="K66" s="70"/>
      <x:c r="M66" s="74"/>
      <x:c r="N66" s="74"/>
      <x:c r="P66" s="70"/>
    </x:row>
    <x:row r="67">
      <x:c r="H67" s="70"/>
      <x:c r="J67" s="74"/>
      <x:c r="K67" s="70"/>
      <x:c r="M67" s="74"/>
      <x:c r="N67" s="74"/>
      <x:c r="P67" s="70"/>
    </x:row>
    <x:row r="68">
      <x:c r="H68" s="70"/>
      <x:c r="J68" s="74"/>
      <x:c r="K68" s="70"/>
      <x:c r="M68" s="74"/>
      <x:c r="N68" s="74"/>
      <x:c r="P68" s="70"/>
    </x:row>
    <x:row r="69">
      <x:c r="H69" s="70"/>
      <x:c r="J69" s="74"/>
      <x:c r="K69" s="70"/>
      <x:c r="M69" s="74"/>
      <x:c r="N69" s="74"/>
      <x:c r="P69" s="70"/>
    </x:row>
    <x:row r="70">
      <x:c r="H70" s="70"/>
      <x:c r="J70" s="74"/>
      <x:c r="K70" s="70"/>
      <x:c r="M70" s="74"/>
      <x:c r="N70" s="74"/>
      <x:c r="P70" s="70"/>
    </x:row>
    <x:row r="71">
      <x:c r="H71" s="70"/>
      <x:c r="J71" s="74"/>
      <x:c r="K71" s="70"/>
      <x:c r="M71" s="74"/>
      <x:c r="N71" s="74"/>
      <x:c r="P71" s="70"/>
    </x:row>
    <x:row r="72">
      <x:c r="H72" s="70"/>
      <x:c r="J72" s="74"/>
      <x:c r="K72" s="70"/>
      <x:c r="M72" s="74"/>
      <x:c r="N72" s="74"/>
      <x:c r="P72" s="70"/>
    </x:row>
    <x:row r="73">
      <x:c r="H73" s="70"/>
      <x:c r="J73" s="74"/>
      <x:c r="K73" s="70"/>
      <x:c r="M73" s="74"/>
      <x:c r="N73" s="74"/>
      <x:c r="P73" s="70"/>
    </x:row>
    <x:row r="74">
      <x:c r="H74" s="70"/>
      <x:c r="J74" s="74"/>
      <x:c r="K74" s="70"/>
      <x:c r="M74" s="74"/>
      <x:c r="N74" s="74"/>
      <x:c r="P74" s="70"/>
    </x:row>
    <x:row r="75">
      <x:c r="H75" s="70"/>
      <x:c r="J75" s="74"/>
      <x:c r="K75" s="70"/>
      <x:c r="M75" s="74"/>
      <x:c r="N75" s="74"/>
      <x:c r="P75" s="70"/>
    </x:row>
    <x:row r="76">
      <x:c r="H76" s="70"/>
      <x:c r="J76" s="74"/>
      <x:c r="K76" s="70"/>
      <x:c r="M76" s="74"/>
      <x:c r="N76" s="74"/>
      <x:c r="P76" s="70"/>
    </x:row>
    <x:row r="77">
      <x:c r="H77" s="70"/>
      <x:c r="J77" s="74"/>
      <x:c r="K77" s="70"/>
      <x:c r="M77" s="74"/>
      <x:c r="N77" s="74"/>
      <x:c r="P77" s="70"/>
    </x:row>
    <x:row r="78">
      <x:c r="H78" s="70"/>
      <x:c r="J78" s="74"/>
      <x:c r="K78" s="70"/>
      <x:c r="M78" s="74"/>
      <x:c r="N78" s="74"/>
      <x:c r="P78" s="70"/>
    </x:row>
    <x:row r="79">
      <x:c r="H79" s="70"/>
      <x:c r="J79" s="74"/>
      <x:c r="K79" s="70"/>
      <x:c r="M79" s="74"/>
      <x:c r="N79" s="74"/>
      <x:c r="P79" s="70"/>
    </x:row>
    <x:row r="80">
      <x:c r="H80" s="70"/>
      <x:c r="J80" s="74"/>
      <x:c r="K80" s="70"/>
      <x:c r="M80" s="74"/>
      <x:c r="N80" s="74"/>
      <x:c r="P80" s="70"/>
    </x:row>
    <x:row r="81">
      <x:c r="H81" s="70"/>
      <x:c r="J81" s="74"/>
      <x:c r="K81" s="70"/>
      <x:c r="M81" s="74"/>
      <x:c r="N81" s="74"/>
      <x:c r="P81" s="70"/>
    </x:row>
    <x:row r="82">
      <x:c r="H82" s="70"/>
      <x:c r="J82" s="74"/>
      <x:c r="K82" s="70"/>
      <x:c r="M82" s="74"/>
      <x:c r="N82" s="74"/>
      <x:c r="P82" s="70"/>
    </x:row>
    <x:row r="83">
      <x:c r="H83" s="70"/>
      <x:c r="J83" s="74"/>
      <x:c r="K83" s="70"/>
      <x:c r="M83" s="74"/>
      <x:c r="N83" s="74"/>
      <x:c r="P83" s="70"/>
    </x:row>
    <x:row r="84">
      <x:c r="H84" s="70"/>
      <x:c r="J84" s="74"/>
      <x:c r="K84" s="70"/>
      <x:c r="M84" s="74"/>
      <x:c r="N84" s="74"/>
      <x:c r="P84" s="70"/>
    </x:row>
    <x:row r="85">
      <x:c r="H85" s="70"/>
      <x:c r="J85" s="74"/>
      <x:c r="K85" s="70"/>
      <x:c r="M85" s="74"/>
      <x:c r="N85" s="74"/>
      <x:c r="P85" s="70"/>
    </x:row>
    <x:row r="86">
      <x:c r="H86" s="70"/>
      <x:c r="J86" s="74"/>
      <x:c r="K86" s="70"/>
      <x:c r="M86" s="74"/>
      <x:c r="N86" s="74"/>
      <x:c r="P86" s="70"/>
    </x:row>
    <x:row r="87">
      <x:c r="H87" s="70"/>
      <x:c r="J87" s="74"/>
      <x:c r="K87" s="70"/>
      <x:c r="M87" s="74"/>
      <x:c r="N87" s="74"/>
      <x:c r="P87" s="70"/>
    </x:row>
    <x:row r="88">
      <x:c r="H88" s="70"/>
      <x:c r="J88" s="74"/>
      <x:c r="K88" s="70"/>
      <x:c r="M88" s="74"/>
      <x:c r="N88" s="74"/>
      <x:c r="P88" s="70"/>
    </x:row>
    <x:row r="89">
      <x:c r="H89" s="70"/>
      <x:c r="J89" s="74"/>
      <x:c r="K89" s="70"/>
      <x:c r="M89" s="74"/>
      <x:c r="N89" s="74"/>
      <x:c r="P89" s="70"/>
    </x:row>
    <x:row r="90">
      <x:c r="H90" s="70"/>
      <x:c r="J90" s="74"/>
      <x:c r="K90" s="70"/>
      <x:c r="M90" s="74"/>
      <x:c r="N90" s="74"/>
      <x:c r="P90" s="70"/>
    </x:row>
    <x:row r="91">
      <x:c r="H91" s="70"/>
      <x:c r="J91" s="74"/>
      <x:c r="K91" s="70"/>
      <x:c r="M91" s="74"/>
      <x:c r="N91" s="74"/>
      <x:c r="P91" s="70"/>
    </x:row>
    <x:row r="92">
      <x:c r="H92" s="70"/>
      <x:c r="J92" s="74"/>
      <x:c r="K92" s="70"/>
      <x:c r="M92" s="74"/>
      <x:c r="N92" s="74"/>
      <x:c r="P92" s="70"/>
    </x:row>
    <x:row r="93">
      <x:c r="H93" s="70"/>
      <x:c r="J93" s="74"/>
      <x:c r="K93" s="70"/>
      <x:c r="M93" s="74"/>
      <x:c r="N93" s="74"/>
      <x:c r="P93" s="70"/>
    </x:row>
    <x:row r="94">
      <x:c r="H94" s="70"/>
      <x:c r="J94" s="74"/>
      <x:c r="K94" s="70"/>
      <x:c r="M94" s="74"/>
      <x:c r="N94" s="74"/>
      <x:c r="P94" s="70"/>
    </x:row>
    <x:row r="95">
      <x:c r="H95" s="70"/>
      <x:c r="J95" s="74"/>
      <x:c r="K95" s="70"/>
      <x:c r="M95" s="74"/>
      <x:c r="N95" s="74"/>
      <x:c r="P95" s="70"/>
    </x:row>
    <x:row r="96">
      <x:c r="H96" s="70"/>
      <x:c r="J96" s="74"/>
      <x:c r="K96" s="70"/>
      <x:c r="M96" s="74"/>
      <x:c r="N96" s="74"/>
      <x:c r="P96" s="70"/>
    </x:row>
    <x:row r="97">
      <x:c r="H97" s="70"/>
      <x:c r="J97" s="74"/>
      <x:c r="K97" s="70"/>
      <x:c r="M97" s="74"/>
      <x:c r="N97" s="74"/>
      <x:c r="P97" s="70"/>
    </x:row>
    <x:row r="98">
      <x:c r="H98" s="70"/>
      <x:c r="J98" s="74"/>
      <x:c r="K98" s="70"/>
      <x:c r="M98" s="74"/>
      <x:c r="N98" s="74"/>
      <x:c r="P98" s="70"/>
    </x:row>
    <x:row r="99">
      <x:c r="H99" s="70"/>
      <x:c r="J99" s="74"/>
      <x:c r="K99" s="70"/>
      <x:c r="M99" s="74"/>
      <x:c r="N99" s="74"/>
      <x:c r="P99" s="70"/>
    </x:row>
    <x:row r="100">
      <x:c r="H100" s="70"/>
      <x:c r="J100" s="74"/>
      <x:c r="K100" s="70"/>
      <x:c r="M100" s="74"/>
      <x:c r="N100" s="74"/>
      <x:c r="P100" s="70"/>
    </x:row>
  </x:sheetData>
  <x:mergeCells>
    <x:mergeCell ref="A1:V1"/>
    <x:mergeCell ref="A3:V3"/>
  </x:mergeCells>
  <x:conditionalFormatting sqref="R5:R100">
    <x:cfRule type="containsText" dxfId="3" priority="1" operator="containsText" text="已接入"/>
    <x:cfRule type="containsText" dxfId="4" priority="2" operator="containsText" text="待"/>
  </x:conditionalFormatting>
  <x:conditionalFormatting sqref="V5:V100">
    <x:cfRule type="containsText" dxfId="5" priority="3" operator="containsText" text="阻塞"/>
  </x:conditionalFormatting>
  <x:conditionalFormatting sqref="A5:A100">
    <x:cfRule type="containsText" dxfId="6" priority="4" operator="containsText" text="否"/>
  </x:conditionalFormatting>
  <x:dataValidations count="3">
    <x:dataValidation type="list" sqref="A5:A100">
      <x:formula1>"是,否"</x:formula1>
    </x:dataValidation>
    <x:dataValidation type="list" sqref="O5:O100">
      <x:formula1>"ENEMY_SWORDSMAN,ENEMY_ARCHER,ENEMY_ARCHER_FAST,ENEMY_SHIELD,ENEMY_SPEARMAN,ELITE_SNOW_TEMPLE"</x:formula1>
    </x:dataValidation>
    <x:dataValidation type="list" sqref="V5:V100">
      <x:formula1>"待摆放,已摆放,已验证,程序阻塞,美术阻塞"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57fddb41564a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46" hidden="0" customWidth="1"/>
    <x:col min="5" max="5" width="58" hidden="0" customWidth="1"/>
    <x:col min="6" max="6" width="18" hidden="0" customWidth="1"/>
    <x:col min="7" max="7" width="38" hidden="0" customWidth="1"/>
    <x:col min="8" max="8" width="46" hidden="0" customWidth="1"/>
  </x:cols>
  <x:sheetData>
    <x:row r="1" ht="30" customHeight="1">
      <x:c r="A1" s="38" t="str">
        <x:v>敌人类型映射｜Prefab 到位后只维护本页</x:v>
      </x:c>
      <x:c r="B1" s="38" t="str">
        <x:v>敌人类型映射｜Prefab 到位后只维护本页</x:v>
      </x:c>
      <x:c r="C1" s="38" t="str">
        <x:v>敌人类型映射｜Prefab 到位后只维护本页</x:v>
      </x:c>
      <x:c r="D1" s="38" t="str">
        <x:v>敌人类型映射｜Prefab 到位后只维护本页</x:v>
      </x:c>
      <x:c r="E1" s="38" t="str">
        <x:v>敌人类型映射｜Prefab 到位后只维护本页</x:v>
      </x:c>
      <x:c r="F1" s="38" t="str">
        <x:v>敌人类型映射｜Prefab 到位后只维护本页</x:v>
      </x:c>
      <x:c r="G1" s="38" t="str">
        <x:v>敌人类型映射｜Prefab 到位后只维护本页</x:v>
      </x:c>
      <x:c r="H1" s="38" t="str">
        <x:v>敌人类型映射｜Prefab 到位后只维护本页</x:v>
      </x:c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57" t="str">
        <x:v>黄色列为后续可编辑资产信息。EnemyTypeKey 为稳定主键，请勿随 Prefab 文件名变化而修改。</x:v>
      </x:c>
      <x:c r="B3" s="57" t="str">
        <x:v>黄色列为后续可编辑资产信息。EnemyTypeKey 为稳定主键，请勿随 Prefab 文件名变化而修改。</x:v>
      </x:c>
      <x:c r="C3" s="57" t="str">
        <x:v>黄色列为后续可编辑资产信息。EnemyTypeKey 为稳定主键，请勿随 Prefab 文件名变化而修改。</x:v>
      </x:c>
      <x:c r="D3" s="57" t="str">
        <x:v>黄色列为后续可编辑资产信息。EnemyTypeKey 为稳定主键，请勿随 Prefab 文件名变化而修改。</x:v>
      </x:c>
      <x:c r="E3" s="57" t="str">
        <x:v>黄色列为后续可编辑资产信息。EnemyTypeKey 为稳定主键，请勿随 Prefab 文件名变化而修改。</x:v>
      </x:c>
      <x:c r="F3" s="57" t="str">
        <x:v>黄色列为后续可编辑资产信息。EnemyTypeKey 为稳定主键，请勿随 Prefab 文件名变化而修改。</x:v>
      </x:c>
      <x:c r="G3" s="57" t="str">
        <x:v>黄色列为后续可编辑资产信息。EnemyTypeKey 为稳定主键，请勿随 Prefab 文件名变化而修改。</x:v>
      </x:c>
      <x:c r="H3" s="57" t="str">
        <x:v>黄色列为后续可编辑资产信息。EnemyTypeKey 为稳定主键，请勿随 Prefab 文件名变化而修改。</x:v>
      </x:c>
    </x:row>
    <x:row r="4">
      <x:c r="A4" s="39"/>
      <x:c r="B4" s="39"/>
      <x:c r="C4" s="39"/>
      <x:c r="D4" s="39"/>
      <x:c r="E4" s="39"/>
      <x:c r="F4" s="39"/>
      <x:c r="G4" s="39"/>
      <x:c r="H4" s="39"/>
    </x:row>
    <x:row r="5" ht="34" customHeight="1">
      <x:c r="A5" s="41" t="str">
        <x:v>EnemyTypeKey</x:v>
      </x:c>
      <x:c r="B5" s="42" t="str">
        <x:v>显示名称</x:v>
      </x:c>
      <x:c r="C5" s="42" t="str">
        <x:v>战斗角色</x:v>
      </x:c>
      <x:c r="D5" s="42" t="str">
        <x:v>EnemyData 路径</x:v>
      </x:c>
      <x:c r="E5" s="42" t="str">
        <x:v>PrefabPath</x:v>
      </x:c>
      <x:c r="F5" s="42" t="str">
        <x:v>AssetStatus</x:v>
      </x:c>
      <x:c r="G5" s="42" t="str">
        <x:v>必要组件</x:v>
      </x:c>
      <x:c r="H5" s="43" t="str">
        <x:v>备注</x:v>
      </x:c>
    </x:row>
    <x:row r="6">
      <x:c r="A6" s="44" t="str">
        <x:v>ENEMY_SWORDSMAN</x:v>
      </x:c>
      <x:c r="B6" s="44" t="str">
        <x:v>刀兵</x:v>
      </x:c>
      <x:c r="C6" s="44" t="str">
        <x:v>近战起手/连斩节点</x:v>
      </x:c>
      <x:c r="D6" s="44" t="str">
        <x:v>Assets/Data/Enemies/MeleeEnemyData.asset</x:v>
      </x:c>
      <x:c r="E6" s="58" t="str"/>
      <x:c r="F6" s="58" t="str">
        <x:v>待接入</x:v>
      </x:c>
      <x:c r="G6" s="44" t="str">
        <x:v>EnemyAgent; Rigidbody2D; Collider2D</x:v>
      </x:c>
      <x:c r="H6" s="44" t="str">
        <x:v>教学与多数敌群的完美闪避起手</x:v>
      </x:c>
    </x:row>
    <x:row r="7">
      <x:c r="A7" s="45" t="str">
        <x:v>ENEMY_ARCHER</x:v>
      </x:c>
      <x:c r="B7" s="45" t="str">
        <x:v>弓兵</x:v>
      </x:c>
      <x:c r="C7" s="45" t="str">
        <x:v>后排压力</x:v>
      </x:c>
      <x:c r="D7" s="45" t="str">
        <x:v>Assets/Data/Enemies/RangedEnemyData.asset</x:v>
      </x:c>
      <x:c r="E7" s="59" t="str"/>
      <x:c r="F7" s="59" t="str">
        <x:v>待接入</x:v>
      </x:c>
      <x:c r="G7" s="45" t="str">
        <x:v>EnemyAgent; Rigidbody2D; Collider2D</x:v>
      </x:c>
      <x:c r="H7" s="45" t="str">
        <x:v>普通射速；不要暂时依赖障碍物挡箭</x:v>
      </x:c>
    </x:row>
    <x:row r="8">
      <x:c r="A8" s="45" t="str">
        <x:v>ENEMY_ARCHER_FAST</x:v>
      </x:c>
      <x:c r="B8" s="45" t="str">
        <x:v>快弓兵</x:v>
      </x:c>
      <x:c r="C8" s="45" t="str">
        <x:v>节奏加速/侧翼</x:v>
      </x:c>
      <x:c r="D8" s="45" t="str">
        <x:v>Assets/Data/Enemies/RangedFastEnemyData.asset</x:v>
      </x:c>
      <x:c r="E8" s="59" t="str"/>
      <x:c r="F8" s="59" t="str">
        <x:v>待接入</x:v>
      </x:c>
      <x:c r="G8" s="45" t="str">
        <x:v>EnemyAgent; Rigidbody2D; Collider2D</x:v>
      </x:c>
      <x:c r="H8" s="45" t="str">
        <x:v>用于山寨小屋的目标优先级教学</x:v>
      </x:c>
    </x:row>
    <x:row r="9">
      <x:c r="A9" s="45" t="str">
        <x:v>ENEMY_SHIELD</x:v>
      </x:c>
      <x:c r="B9" s="45" t="str">
        <x:v>盾兵</x:v>
      </x:c>
      <x:c r="C9" s="45" t="str">
        <x:v>绕背/顺序决策</x:v>
      </x:c>
      <x:c r="D9" s="45" t="str">
        <x:v>Assets/Data/Enemies/MeleeEnemyData.asset</x:v>
      </x:c>
      <x:c r="E9" s="59" t="str">
        <x:v>Assets/Prefabs/Characters/Prefab_ShieldWarriorAnimated.prefab</x:v>
      </x:c>
      <x:c r="F9" s="59" t="str">
        <x:v>临时占位</x:v>
      </x:c>
      <x:c r="G9" s="45" t="str">
        <x:v>EnemyAgent; Rigidbody2D; Collider2D</x:v>
      </x:c>
      <x:c r="H9" s="45" t="str">
        <x:v>现有 Prefab 可做流程验证，正式资产到位后替换路径</x:v>
      </x:c>
    </x:row>
    <x:row r="10">
      <x:c r="A10" s="45" t="str">
        <x:v>ENEMY_SPEARMAN</x:v>
      </x:c>
      <x:c r="B10" s="45" t="str">
        <x:v>长矛兵</x:v>
      </x:c>
      <x:c r="C10" s="45" t="str">
        <x:v>中距离突刺</x:v>
      </x:c>
      <x:c r="D10" s="45" t="str">
        <x:v>Assets/Data/Enemies/SpearmanEnemyData.asset</x:v>
      </x:c>
      <x:c r="E10" s="59" t="str"/>
      <x:c r="F10" s="59" t="str">
        <x:v>待动画/Prefab</x:v>
      </x:c>
      <x:c r="G10" s="45" t="str">
        <x:v>EnemyAgent; Rigidbody2D; Collider2D</x:v>
      </x:c>
      <x:c r="H10" s="45" t="str">
        <x:v>当前未进入本版5分钟布怪；保留扩展键</x:v>
      </x:c>
    </x:row>
    <x:row r="11">
      <x:c r="A11" s="46" t="str">
        <x:v>ELITE_SNOW_TEMPLE</x:v>
      </x:c>
      <x:c r="B11" s="46" t="str">
        <x:v>雪寺精英头目</x:v>
      </x:c>
      <x:c r="C11" s="46" t="str">
        <x:v>最终战</x:v>
      </x:c>
      <x:c r="D11" s="46" t="str"/>
      <x:c r="E11" s="60" t="str"/>
      <x:c r="F11" s="60" t="str">
        <x:v>未开发</x:v>
      </x:c>
      <x:c r="G11" s="46" t="str">
        <x:v>待程序定义</x:v>
      </x:c>
      <x:c r="H11" s="46" t="str">
        <x:v>三次破甲且每次破甲后推开玩家；当前仅保留出生点</x:v>
      </x:c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</x:sheetData>
  <x:mergeCells>
    <x:mergeCell ref="A1:H1"/>
    <x:mergeCell ref="A3:H3"/>
  </x:mergeCells>
  <x:conditionalFormatting sqref="F6:F100">
    <x:cfRule type="containsText" dxfId="0" priority="1" operator="containsText" text="已接入"/>
    <x:cfRule type="containsText" dxfId="1" priority="2" operator="containsText" text="临时占位"/>
    <x:cfRule type="containsText" dxfId="2" priority="3" operator="containsText" text="未开发"/>
  </x:conditionalFormatting>
  <x:dataValidations count="1">
    <x:dataValidation type="list" sqref="F6:F100">
      <x:formula1>"待接入,临时占位,已接入,待动画/Prefab,未开发,阻塞"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5ece0339af431c"/>
  </x:tableParts>
</x:worksheet>
</file>